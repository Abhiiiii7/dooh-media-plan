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ventory" sheetId="2" state="visible" r:id="rId4"/>
    <sheet name="Media Plan" sheetId="3" state="visible" r:id="rId5"/>
    <sheet name="Delivery Data" sheetId="4" state="visible" r:id="rId6"/>
    <sheet name="Pacing" sheetId="5" state="visible" r:id="rId7"/>
    <sheet name="Recap Template" sheetId="6" state="visible" r:id="rId8"/>
  </sheets>
  <definedNames>
    <definedName function="false" hidden="true" localSheetId="3" name="_xlnm._FilterDatabase" vbProcedure="false">'Delivery Data'!$A$1:$G$687</definedName>
    <definedName function="false" hidden="true" localSheetId="1" name="_xlnm._FilterDatabase" vbProcedure="false">Inventory!$A$1:$P$132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Arial"/>
            <family val="2"/>
          </rPr>
          <t xml:space="preserve">Assumption: share of each venue's weekly impressions open to programmatic buys.</t>
        </r>
      </text>
    </comment>
    <comment ref="B26" authorId="0">
      <text>
        <r>
          <rPr>
            <sz val="10"/>
            <rFont val="Arial"/>
            <family val="2"/>
          </rPr>
          <t xml:space="preserve">Assumption: adults 25-54 grocery shoppers as a share of the general audience.</t>
        </r>
      </text>
    </comment>
    <comment ref="B27" authorId="0">
      <text>
        <r>
          <rPr>
            <sz val="10"/>
            <rFont val="Arial"/>
            <family val="2"/>
          </rPr>
          <t xml:space="preserve">Keeps the plan spread across venues.</t>
        </r>
      </text>
    </comment>
    <comment ref="B28" authorId="0">
      <text>
        <r>
          <rPr>
            <sz val="10"/>
            <rFont val="Arial"/>
            <family val="2"/>
          </rPr>
          <t xml:space="preserve">Change this to see pacing at a different point in the flight.</t>
        </r>
      </text>
    </comment>
  </commentList>
</comments>
</file>

<file path=xl/sharedStrings.xml><?xml version="1.0" encoding="utf-8"?>
<sst xmlns="http://schemas.openxmlformats.org/spreadsheetml/2006/main" count="3454" uniqueCount="255">
  <si>
    <t xml:space="preserve">DOOH Media Plan - Campaign Brief</t>
  </si>
  <si>
    <t xml:space="preserve">Blue = input you can change. Black = formula. All data simulated for practice.</t>
  </si>
  <si>
    <t xml:space="preserve">Brand</t>
  </si>
  <si>
    <t xml:space="preserve">Brightside Grocers (fictional)</t>
  </si>
  <si>
    <t xml:space="preserve">Objective</t>
  </si>
  <si>
    <t xml:space="preserve">Drive store visits for spring produce launch</t>
  </si>
  <si>
    <t xml:space="preserve">Target audience</t>
  </si>
  <si>
    <t xml:space="preserve">Adults 25-54, primary grocery shoppers</t>
  </si>
  <si>
    <t xml:space="preserve">Flight start</t>
  </si>
  <si>
    <t xml:space="preserve">2026-03-02</t>
  </si>
  <si>
    <t xml:space="preserve">Flight end</t>
  </si>
  <si>
    <t xml:space="preserve">2026-03-29</t>
  </si>
  <si>
    <t xml:space="preserve">Flight days</t>
  </si>
  <si>
    <t xml:space="preserve">Total budget ($)</t>
  </si>
  <si>
    <t xml:space="preserve">Metro budget split</t>
  </si>
  <si>
    <t xml:space="preserve">New York</t>
  </si>
  <si>
    <t xml:space="preserve">Los Angeles</t>
  </si>
  <si>
    <t xml:space="preserve">Chicago</t>
  </si>
  <si>
    <t xml:space="preserve">Check (must be 100%)</t>
  </si>
  <si>
    <t xml:space="preserve">Daypart weights (what matters for this brand)</t>
  </si>
  <si>
    <t xml:space="preserve">Morning</t>
  </si>
  <si>
    <t xml:space="preserve">Midday</t>
  </si>
  <si>
    <t xml:space="preserve">Evening</t>
  </si>
  <si>
    <t xml:space="preserve">Weekend</t>
  </si>
  <si>
    <t xml:space="preserve">Grocery trips skew to evenings and weekends, so those dayparts carry more weight.</t>
  </si>
  <si>
    <t xml:space="preserve">Planning assumptions</t>
  </si>
  <si>
    <t xml:space="preserve">Sellable share of venue impressions</t>
  </si>
  <si>
    <t xml:space="preserve">Target share at index 100</t>
  </si>
  <si>
    <t xml:space="preserve">Max share of metro budget per venue</t>
  </si>
  <si>
    <t xml:space="preserve">Reporting as-of (flight day)</t>
  </si>
  <si>
    <t xml:space="preserve">Venue ID</t>
  </si>
  <si>
    <t xml:space="preserve">Metro</t>
  </si>
  <si>
    <t xml:space="preserve">Publisher</t>
  </si>
  <si>
    <t xml:space="preserve">Venue Type</t>
  </si>
  <si>
    <t xml:space="preserve">Screens</t>
  </si>
  <si>
    <t xml:space="preserve">Weekly Impressions</t>
  </si>
  <si>
    <t xml:space="preserve">CPM Floor ($)</t>
  </si>
  <si>
    <t xml:space="preserve">Audience Index</t>
  </si>
  <si>
    <t xml:space="preserve">Morning %</t>
  </si>
  <si>
    <t xml:space="preserve">Midday %</t>
  </si>
  <si>
    <t xml:space="preserve">Evening %</t>
  </si>
  <si>
    <t xml:space="preserve">Weekend %</t>
  </si>
  <si>
    <t xml:space="preserve">Daypart Fit</t>
  </si>
  <si>
    <t xml:space="preserve">Metro Avg CPM ($)</t>
  </si>
  <si>
    <t xml:space="preserve">Venue Score</t>
  </si>
  <si>
    <t xml:space="preserve">Rank in Metro</t>
  </si>
  <si>
    <t xml:space="preserve">NYC-001</t>
  </si>
  <si>
    <t xml:space="preserve">MetroScreens</t>
  </si>
  <si>
    <t xml:space="preserve">Transit</t>
  </si>
  <si>
    <t xml:space="preserve">NYC-002</t>
  </si>
  <si>
    <t xml:space="preserve">NYC-003</t>
  </si>
  <si>
    <t xml:space="preserve">NYC-004</t>
  </si>
  <si>
    <t xml:space="preserve">NYC-005</t>
  </si>
  <si>
    <t xml:space="preserve">NYC-006</t>
  </si>
  <si>
    <t xml:space="preserve">NYC-007</t>
  </si>
  <si>
    <t xml:space="preserve">FitView Network</t>
  </si>
  <si>
    <t xml:space="preserve">Gym</t>
  </si>
  <si>
    <t xml:space="preserve">NYC-008</t>
  </si>
  <si>
    <t xml:space="preserve">NYC-009</t>
  </si>
  <si>
    <t xml:space="preserve">NYC-010</t>
  </si>
  <si>
    <t xml:space="preserve">NYC-011</t>
  </si>
  <si>
    <t xml:space="preserve">NYC-012</t>
  </si>
  <si>
    <t xml:space="preserve">NYC-013</t>
  </si>
  <si>
    <t xml:space="preserve">NYC-014</t>
  </si>
  <si>
    <t xml:space="preserve">NYC-015</t>
  </si>
  <si>
    <t xml:space="preserve">AisleCast Media</t>
  </si>
  <si>
    <t xml:space="preserve">Grocery</t>
  </si>
  <si>
    <t xml:space="preserve">NYC-016</t>
  </si>
  <si>
    <t xml:space="preserve">NYC-017</t>
  </si>
  <si>
    <t xml:space="preserve">NYC-018</t>
  </si>
  <si>
    <t xml:space="preserve">NYC-019</t>
  </si>
  <si>
    <t xml:space="preserve">NYC-020</t>
  </si>
  <si>
    <t xml:space="preserve">NYC-021</t>
  </si>
  <si>
    <t xml:space="preserve">NYC-022</t>
  </si>
  <si>
    <t xml:space="preserve">LobbyLink</t>
  </si>
  <si>
    <t xml:space="preserve">Office</t>
  </si>
  <si>
    <t xml:space="preserve">NYC-023</t>
  </si>
  <si>
    <t xml:space="preserve">NYC-024</t>
  </si>
  <si>
    <t xml:space="preserve">NYC-025</t>
  </si>
  <si>
    <t xml:space="preserve">NYC-026</t>
  </si>
  <si>
    <t xml:space="preserve">NYC-027</t>
  </si>
  <si>
    <t xml:space="preserve">NYC-028</t>
  </si>
  <si>
    <t xml:space="preserve">NYC-029</t>
  </si>
  <si>
    <t xml:space="preserve">PumpPlay TV</t>
  </si>
  <si>
    <t xml:space="preserve">Gas</t>
  </si>
  <si>
    <t xml:space="preserve">NYC-030</t>
  </si>
  <si>
    <t xml:space="preserve">NYC-031</t>
  </si>
  <si>
    <t xml:space="preserve">NYC-032</t>
  </si>
  <si>
    <t xml:space="preserve">NYC-033</t>
  </si>
  <si>
    <t xml:space="preserve">NYC-034</t>
  </si>
  <si>
    <t xml:space="preserve">NYC-035</t>
  </si>
  <si>
    <t xml:space="preserve">NYC-036</t>
  </si>
  <si>
    <t xml:space="preserve">MallVision</t>
  </si>
  <si>
    <t xml:space="preserve">Mall</t>
  </si>
  <si>
    <t xml:space="preserve">NYC-037</t>
  </si>
  <si>
    <t xml:space="preserve">NYC-038</t>
  </si>
  <si>
    <t xml:space="preserve">NYC-039</t>
  </si>
  <si>
    <t xml:space="preserve">NYC-040</t>
  </si>
  <si>
    <t xml:space="preserve">NYC-041</t>
  </si>
  <si>
    <t xml:space="preserve">LAX-001</t>
  </si>
  <si>
    <t xml:space="preserve">LAX-002</t>
  </si>
  <si>
    <t xml:space="preserve">LAX-003</t>
  </si>
  <si>
    <t xml:space="preserve">LAX-004</t>
  </si>
  <si>
    <t xml:space="preserve">LAX-005</t>
  </si>
  <si>
    <t xml:space="preserve">LAX-006</t>
  </si>
  <si>
    <t xml:space="preserve">LAX-007</t>
  </si>
  <si>
    <t xml:space="preserve">LAX-008</t>
  </si>
  <si>
    <t xml:space="preserve">LAX-009</t>
  </si>
  <si>
    <t xml:space="preserve">LAX-010</t>
  </si>
  <si>
    <t xml:space="preserve">LAX-011</t>
  </si>
  <si>
    <t xml:space="preserve">LAX-012</t>
  </si>
  <si>
    <t xml:space="preserve">LAX-013</t>
  </si>
  <si>
    <t xml:space="preserve">LAX-014</t>
  </si>
  <si>
    <t xml:space="preserve">LAX-015</t>
  </si>
  <si>
    <t xml:space="preserve">LAX-016</t>
  </si>
  <si>
    <t xml:space="preserve">LAX-017</t>
  </si>
  <si>
    <t xml:space="preserve">LAX-018</t>
  </si>
  <si>
    <t xml:space="preserve">LAX-019</t>
  </si>
  <si>
    <t xml:space="preserve">LAX-020</t>
  </si>
  <si>
    <t xml:space="preserve">LAX-021</t>
  </si>
  <si>
    <t xml:space="preserve">LAX-022</t>
  </si>
  <si>
    <t xml:space="preserve">LAX-023</t>
  </si>
  <si>
    <t xml:space="preserve">LAX-024</t>
  </si>
  <si>
    <t xml:space="preserve">LAX-025</t>
  </si>
  <si>
    <t xml:space="preserve">LAX-026</t>
  </si>
  <si>
    <t xml:space="preserve">LAX-027</t>
  </si>
  <si>
    <t xml:space="preserve">LAX-028</t>
  </si>
  <si>
    <t xml:space="preserve">LAX-029</t>
  </si>
  <si>
    <t xml:space="preserve">LAX-030</t>
  </si>
  <si>
    <t xml:space="preserve">LAX-031</t>
  </si>
  <si>
    <t xml:space="preserve">LAX-032</t>
  </si>
  <si>
    <t xml:space="preserve">LAX-033</t>
  </si>
  <si>
    <t xml:space="preserve">LAX-034</t>
  </si>
  <si>
    <t xml:space="preserve">LAX-035</t>
  </si>
  <si>
    <t xml:space="preserve">LAX-036</t>
  </si>
  <si>
    <t xml:space="preserve">LAX-037</t>
  </si>
  <si>
    <t xml:space="preserve">LAX-038</t>
  </si>
  <si>
    <t xml:space="preserve">LAX-039</t>
  </si>
  <si>
    <t xml:space="preserve">LAX-040</t>
  </si>
  <si>
    <t xml:space="preserve">LAX-041</t>
  </si>
  <si>
    <t xml:space="preserve">LAX-042</t>
  </si>
  <si>
    <t xml:space="preserve">LAX-043</t>
  </si>
  <si>
    <t xml:space="preserve">LAX-044</t>
  </si>
  <si>
    <t xml:space="preserve">LAX-045</t>
  </si>
  <si>
    <t xml:space="preserve">LAX-046</t>
  </si>
  <si>
    <t xml:space="preserve">LAX-047</t>
  </si>
  <si>
    <t xml:space="preserve">LAX-048</t>
  </si>
  <si>
    <t xml:space="preserve">CHI-001</t>
  </si>
  <si>
    <t xml:space="preserve">CHI-002</t>
  </si>
  <si>
    <t xml:space="preserve">CHI-003</t>
  </si>
  <si>
    <t xml:space="preserve">CHI-004</t>
  </si>
  <si>
    <t xml:space="preserve">CHI-005</t>
  </si>
  <si>
    <t xml:space="preserve">CHI-006</t>
  </si>
  <si>
    <t xml:space="preserve">CHI-007</t>
  </si>
  <si>
    <t xml:space="preserve">CHI-008</t>
  </si>
  <si>
    <t xml:space="preserve">CHI-009</t>
  </si>
  <si>
    <t xml:space="preserve">CHI-010</t>
  </si>
  <si>
    <t xml:space="preserve">CHI-011</t>
  </si>
  <si>
    <t xml:space="preserve">CHI-012</t>
  </si>
  <si>
    <t xml:space="preserve">CHI-013</t>
  </si>
  <si>
    <t xml:space="preserve">CHI-014</t>
  </si>
  <si>
    <t xml:space="preserve">CHI-015</t>
  </si>
  <si>
    <t xml:space="preserve">CHI-016</t>
  </si>
  <si>
    <t xml:space="preserve">CHI-017</t>
  </si>
  <si>
    <t xml:space="preserve">CHI-018</t>
  </si>
  <si>
    <t xml:space="preserve">CHI-019</t>
  </si>
  <si>
    <t xml:space="preserve">CHI-020</t>
  </si>
  <si>
    <t xml:space="preserve">CHI-021</t>
  </si>
  <si>
    <t xml:space="preserve">CHI-022</t>
  </si>
  <si>
    <t xml:space="preserve">CHI-023</t>
  </si>
  <si>
    <t xml:space="preserve">CHI-024</t>
  </si>
  <si>
    <t xml:space="preserve">CHI-025</t>
  </si>
  <si>
    <t xml:space="preserve">CHI-026</t>
  </si>
  <si>
    <t xml:space="preserve">CHI-027</t>
  </si>
  <si>
    <t xml:space="preserve">CHI-028</t>
  </si>
  <si>
    <t xml:space="preserve">CHI-029</t>
  </si>
  <si>
    <t xml:space="preserve">CHI-030</t>
  </si>
  <si>
    <t xml:space="preserve">CHI-031</t>
  </si>
  <si>
    <t xml:space="preserve">CHI-032</t>
  </si>
  <si>
    <t xml:space="preserve">CHI-033</t>
  </si>
  <si>
    <t xml:space="preserve">CHI-034</t>
  </si>
  <si>
    <t xml:space="preserve">CHI-035</t>
  </si>
  <si>
    <t xml:space="preserve">CHI-036</t>
  </si>
  <si>
    <t xml:space="preserve">CHI-037</t>
  </si>
  <si>
    <t xml:space="preserve">CHI-038</t>
  </si>
  <si>
    <t xml:space="preserve">CHI-039</t>
  </si>
  <si>
    <t xml:space="preserve">CHI-040</t>
  </si>
  <si>
    <t xml:space="preserve">CHI-041</t>
  </si>
  <si>
    <t xml:space="preserve">CHI-042</t>
  </si>
  <si>
    <t xml:space="preserve">Venue Score = (Audience Index / 100) x Daypart Fit / (CPM / Metro Avg CPM).</t>
  </si>
  <si>
    <t xml:space="preserve">Higher score = more of the right audience, at the right time, per dollar. Daypart Fit of 1.00 = average.</t>
  </si>
  <si>
    <t xml:space="preserve">Source: simulated inventory for practice (fictional publishers).</t>
  </si>
  <si>
    <t xml:space="preserve">Planned Spend ($)</t>
  </si>
  <si>
    <t xml:space="preserve">CPM ($)</t>
  </si>
  <si>
    <t xml:space="preserve">Planned Impressions</t>
  </si>
  <si>
    <t xml:space="preserve">Est. Target Impressions</t>
  </si>
  <si>
    <t xml:space="preserve">Share of Metro Budget</t>
  </si>
  <si>
    <t xml:space="preserve">TOTAL</t>
  </si>
  <si>
    <t xml:space="preserve">By metro</t>
  </si>
  <si>
    <t xml:space="preserve">Budget ($)</t>
  </si>
  <si>
    <t xml:space="preserve">Difference ($)</t>
  </si>
  <si>
    <t xml:space="preserve">Blended CPM ($)</t>
  </si>
  <si>
    <t xml:space="preserve">Venues</t>
  </si>
  <si>
    <t xml:space="preserve">Planned Spend is the input (blue). Venues were picked by Venue Score until each metro budget was used, capped by sellable impressions and the per-venue limit on the Brief.</t>
  </si>
  <si>
    <t xml:space="preserve">Date</t>
  </si>
  <si>
    <t xml:space="preserve">Flight Day</t>
  </si>
  <si>
    <t xml:space="preserve">Delivered Impressions</t>
  </si>
  <si>
    <t xml:space="preserve">Delivered Spend ($)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</si>
  <si>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</si>
  <si>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</si>
  <si>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</si>
  <si>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</si>
  <si>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</si>
  <si>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</si>
  <si>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</si>
  <si>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</si>
  <si>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</si>
  <si>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</si>
  <si>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</si>
  <si>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</si>
  <si>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</si>
  <si>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Pacing &amp; Delivery - by Publisher and Metro</t>
  </si>
  <si>
    <t xml:space="preserve">% of flight elapsed</t>
  </si>
  <si>
    <t xml:space="preserve">Behind if pace &lt;</t>
  </si>
  <si>
    <t xml:space="preserve">Ahead if pace &gt;</t>
  </si>
  <si>
    <t xml:space="preserve">Expected to Date</t>
  </si>
  <si>
    <t xml:space="preserve">Delivered to Date (as-of)</t>
  </si>
  <si>
    <t xml:space="preserve">% of Plan Delivered</t>
  </si>
  <si>
    <t xml:space="preserve">Pace Index</t>
  </si>
  <si>
    <t xml:space="preserve">Projected Final Impressions</t>
  </si>
  <si>
    <t xml:space="preserve">Projected Shortfall</t>
  </si>
  <si>
    <t xml:space="preserve">Status</t>
  </si>
  <si>
    <t xml:space="preserve">Pace Index = Delivered to Date / Expected to Date. 1.00x = exactly on plan.</t>
  </si>
  <si>
    <t xml:space="preserve">Projected Final assumes the current daily rate holds for the rest of the flight.</t>
  </si>
  <si>
    <t xml:space="preserve">Change the as-of day on the Brief sheet to re-run pacing at another point in the flight.</t>
  </si>
  <si>
    <t xml:space="preserve">Campaign Recap - Brightside Grocers Spring Produce (DOOH)</t>
  </si>
  <si>
    <t xml:space="preserve">Headline numbers fill in automatically. Fill the yellow cells for the client-facing story.</t>
  </si>
  <si>
    <t xml:space="preserve">Planned impressions</t>
  </si>
  <si>
    <t xml:space="preserve">Delivered impressions (to date)</t>
  </si>
  <si>
    <t xml:space="preserve">% of plan delivered</t>
  </si>
  <si>
    <t xml:space="preserve">Overall pace index</t>
  </si>
  <si>
    <t xml:space="preserve">Delivered spend ($)</t>
  </si>
  <si>
    <t xml:space="preserve">Effective CPM ($)</t>
  </si>
  <si>
    <t xml:space="preserve">Est. target impressions delivered</t>
  </si>
  <si>
    <t xml:space="preserve">Publishers behind pace</t>
  </si>
  <si>
    <t xml:space="preserve">Story for the client</t>
  </si>
  <si>
    <t xml:space="preserve">Your notes (example row in grey - replace it)</t>
  </si>
  <si>
    <t xml:space="preserve">What worked</t>
  </si>
  <si>
    <t xml:space="preserve">Grocery-venue screens delivered on plan at the strongest audience index; weekend dayparts carried the reach.</t>
  </si>
  <si>
    <t xml:space="preserve">What under-delivered and why</t>
  </si>
  <si>
    <t xml:space="preserve">PumpPlay TV ran ~30% behind due to limited weekday inventory; flagged on day 7.</t>
  </si>
  <si>
    <t xml:space="preserve">What we changed mid-flight</t>
  </si>
  <si>
    <t xml:space="preserve">Shifted unspent PumpPlay budget to MallVision weekend inventory in Los Angeles.</t>
  </si>
  <si>
    <t xml:space="preserve">Recommendation for next flight</t>
  </si>
  <si>
    <t xml:space="preserve">Raise grocery and mall share; set make-good terms with gas-station publishers up front.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</si>
</sst>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0"/>
    <numFmt numFmtId="168" formatCode="#,##0;\(#,##0\);\-"/>
    <numFmt numFmtId="169" formatCode="\$#,##0.00;&quot;($&quot;#,##0.00\);\-"/>
    <numFmt numFmtId="170" formatCode="0.00"/>
    <numFmt numFmtId="171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5" t="s">
        <v>3</v>
      </c>
      <c r="C4" s="2"/>
    </row>
    <row r="5" customFormat="false" ht="15" hidden="false" customHeight="false" outlineLevel="0" collapsed="false">
      <c r="A5" s="4" t="s">
        <v>4</v>
      </c>
      <c r="B5" s="5" t="s">
        <v>5</v>
      </c>
      <c r="C5" s="2"/>
    </row>
    <row r="6" customFormat="false" ht="15" hidden="false" customHeight="false" outlineLevel="0" collapsed="false">
      <c r="A6" s="4" t="s">
        <v>6</v>
      </c>
      <c r="B6" s="5" t="s">
        <v>7</v>
      </c>
      <c r="C6" s="2"/>
    </row>
    <row r="7" customFormat="false" ht="15" hidden="false" customHeight="false" outlineLevel="0" collapsed="false">
      <c r="A7" s="4" t="s">
        <v>8</v>
      </c>
      <c r="B7" s="5" t="s">
        <v>9</v>
      </c>
      <c r="C7" s="2"/>
    </row>
    <row r="8" customFormat="false" ht="15" hidden="false" customHeight="false" outlineLevel="0" collapsed="false">
      <c r="A8" s="4" t="s">
        <v>10</v>
      </c>
      <c r="B8" s="5" t="s">
        <v>11</v>
      </c>
      <c r="C8" s="2"/>
    </row>
    <row r="9" customFormat="false" ht="15" hidden="false" customHeight="false" outlineLevel="0" collapsed="false">
      <c r="A9" s="4" t="s">
        <v>12</v>
      </c>
      <c r="B9" s="5" t="n">
        <v>28</v>
      </c>
      <c r="C9" s="2"/>
    </row>
    <row r="10" customFormat="false" ht="15" hidden="false" customHeight="false" outlineLevel="0" collapsed="false">
      <c r="A10" s="4" t="s">
        <v>13</v>
      </c>
      <c r="B10" s="6" t="n">
        <v>75000</v>
      </c>
      <c r="C10" s="2"/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4" t="s">
        <v>14</v>
      </c>
      <c r="B12" s="2"/>
      <c r="C12" s="2"/>
    </row>
    <row r="13" customFormat="false" ht="15" hidden="false" customHeight="false" outlineLevel="0" collapsed="false">
      <c r="A13" s="2" t="s">
        <v>15</v>
      </c>
      <c r="B13" s="7" t="n">
        <v>0.45</v>
      </c>
      <c r="C13" s="8" t="n">
        <f aca="false">B13*Brief!$B$10</f>
        <v>33750</v>
      </c>
    </row>
    <row r="14" customFormat="false" ht="15" hidden="false" customHeight="false" outlineLevel="0" collapsed="false">
      <c r="A14" s="2" t="s">
        <v>16</v>
      </c>
      <c r="B14" s="7" t="n">
        <v>0.35</v>
      </c>
      <c r="C14" s="8" t="n">
        <f aca="false">B14*Brief!$B$10</f>
        <v>26250</v>
      </c>
    </row>
    <row r="15" customFormat="false" ht="15" hidden="false" customHeight="false" outlineLevel="0" collapsed="false">
      <c r="A15" s="2" t="s">
        <v>17</v>
      </c>
      <c r="B15" s="7" t="n">
        <v>0.2</v>
      </c>
      <c r="C15" s="8" t="n">
        <f aca="false">B15*Brief!$B$10</f>
        <v>15000</v>
      </c>
    </row>
    <row r="16" customFormat="false" ht="15" hidden="false" customHeight="false" outlineLevel="0" collapsed="false">
      <c r="A16" s="9" t="s">
        <v>18</v>
      </c>
      <c r="B16" s="10" t="n">
        <f aca="false">SUM(B13:B15)</f>
        <v>1</v>
      </c>
      <c r="C16" s="2"/>
    </row>
    <row r="17" customFormat="false" ht="15" hidden="false" customHeight="false" outlineLevel="0" collapsed="false">
      <c r="A17" s="2"/>
      <c r="B17" s="2"/>
      <c r="C17" s="2"/>
    </row>
    <row r="18" customFormat="false" ht="15" hidden="false" customHeight="false" outlineLevel="0" collapsed="false">
      <c r="A18" s="4" t="s">
        <v>19</v>
      </c>
      <c r="B18" s="2"/>
      <c r="C18" s="2"/>
    </row>
    <row r="19" customFormat="false" ht="15" hidden="false" customHeight="false" outlineLevel="0" collapsed="false">
      <c r="A19" s="2" t="s">
        <v>20</v>
      </c>
      <c r="B19" s="7" t="n">
        <v>0.15</v>
      </c>
      <c r="C19" s="2"/>
    </row>
    <row r="20" customFormat="false" ht="15" hidden="false" customHeight="false" outlineLevel="0" collapsed="false">
      <c r="A20" s="2" t="s">
        <v>21</v>
      </c>
      <c r="B20" s="7" t="n">
        <v>0.2</v>
      </c>
      <c r="C20" s="2"/>
    </row>
    <row r="21" customFormat="false" ht="15" hidden="false" customHeight="false" outlineLevel="0" collapsed="false">
      <c r="A21" s="2" t="s">
        <v>22</v>
      </c>
      <c r="B21" s="7" t="n">
        <v>0.3</v>
      </c>
      <c r="C21" s="2"/>
    </row>
    <row r="22" customFormat="false" ht="15" hidden="false" customHeight="false" outlineLevel="0" collapsed="false">
      <c r="A22" s="2" t="s">
        <v>23</v>
      </c>
      <c r="B22" s="7" t="n">
        <v>0.35</v>
      </c>
      <c r="C22" s="3" t="s">
        <v>24</v>
      </c>
    </row>
    <row r="23" customFormat="false" ht="15" hidden="false" customHeight="false" outlineLevel="0" collapsed="false">
      <c r="A23" s="2"/>
      <c r="B23" s="2"/>
      <c r="C23" s="2"/>
    </row>
    <row r="24" customFormat="false" ht="15" hidden="false" customHeight="false" outlineLevel="0" collapsed="false">
      <c r="A24" s="4" t="s">
        <v>25</v>
      </c>
      <c r="B24" s="2"/>
      <c r="C24" s="2"/>
    </row>
    <row r="25" customFormat="false" ht="15" hidden="false" customHeight="false" outlineLevel="0" collapsed="false">
      <c r="A25" s="2" t="s">
        <v>26</v>
      </c>
      <c r="B25" s="7" t="n">
        <v>0.4</v>
      </c>
      <c r="C25" s="2"/>
    </row>
    <row r="26" customFormat="false" ht="15" hidden="false" customHeight="false" outlineLevel="0" collapsed="false">
      <c r="A26" s="2" t="s">
        <v>27</v>
      </c>
      <c r="B26" s="7" t="n">
        <v>0.38</v>
      </c>
      <c r="C26" s="2"/>
    </row>
    <row r="27" customFormat="false" ht="15" hidden="false" customHeight="false" outlineLevel="0" collapsed="false">
      <c r="A27" s="2" t="s">
        <v>28</v>
      </c>
      <c r="B27" s="7" t="n">
        <v>0.15</v>
      </c>
      <c r="C27" s="2"/>
    </row>
    <row r="28" customFormat="false" ht="15" hidden="false" customHeight="false" outlineLevel="0" collapsed="false">
      <c r="A28" s="2" t="s">
        <v>29</v>
      </c>
      <c r="B28" s="11" t="n">
        <v>14</v>
      </c>
      <c r="C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0"/>
  </cols>
  <sheetData>
    <row r="1" customFormat="false" ht="31.5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  <c r="K1" s="12" t="s">
        <v>40</v>
      </c>
      <c r="L1" s="12" t="s">
        <v>41</v>
      </c>
      <c r="M1" s="12" t="s">
        <v>42</v>
      </c>
      <c r="N1" s="12" t="s">
        <v>43</v>
      </c>
      <c r="O1" s="12" t="s">
        <v>44</v>
      </c>
      <c r="P1" s="12" t="s">
        <v>45</v>
      </c>
    </row>
    <row r="2" customFormat="false" ht="15" hidden="false" customHeight="false" outlineLevel="0" collapsed="false">
      <c r="A2" s="13" t="s">
        <v>46</v>
      </c>
      <c r="B2" s="13" t="s">
        <v>15</v>
      </c>
      <c r="C2" s="13" t="s">
        <v>47</v>
      </c>
      <c r="D2" s="13" t="s">
        <v>48</v>
      </c>
      <c r="E2" s="14" t="n">
        <v>31</v>
      </c>
      <c r="F2" s="14" t="n">
        <v>394000</v>
      </c>
      <c r="G2" s="15" t="n">
        <v>12.7</v>
      </c>
      <c r="H2" s="13" t="n">
        <v>105</v>
      </c>
      <c r="I2" s="16" t="n">
        <v>0.33</v>
      </c>
      <c r="J2" s="16" t="n">
        <v>0.18</v>
      </c>
      <c r="K2" s="16" t="n">
        <v>0.39</v>
      </c>
      <c r="L2" s="16" t="n">
        <v>0.1</v>
      </c>
      <c r="M2" s="17" t="n">
        <f aca="false">(I2*Brief!$B$19+J2*Brief!$B$20+K2*Brief!$B$21+L2*Brief!$B$22)/0.25</f>
        <v>0.95</v>
      </c>
      <c r="N2" s="18" t="n">
        <f aca="false">AVERAGEIF($B$2:$B$132,B2,$G$2:$G$132)</f>
        <v>12.8863414634146</v>
      </c>
      <c r="O2" s="17" t="n">
        <f aca="false">(H2/100)*M2/(G2/N2)</f>
        <v>1.01213587478394</v>
      </c>
      <c r="P2" s="19" t="n">
        <f aca="false">COUNTIFS($B$2:$B$132,B2,$O$2:$O$132,"&gt;"&amp;O2)+1</f>
        <v>33</v>
      </c>
    </row>
    <row r="3" customFormat="false" ht="15" hidden="false" customHeight="false" outlineLevel="0" collapsed="false">
      <c r="A3" s="13" t="s">
        <v>49</v>
      </c>
      <c r="B3" s="13" t="s">
        <v>15</v>
      </c>
      <c r="C3" s="13" t="s">
        <v>47</v>
      </c>
      <c r="D3" s="13" t="s">
        <v>48</v>
      </c>
      <c r="E3" s="14" t="n">
        <v>32</v>
      </c>
      <c r="F3" s="14" t="n">
        <v>311000</v>
      </c>
      <c r="G3" s="15" t="n">
        <v>12.98</v>
      </c>
      <c r="H3" s="13" t="n">
        <v>103</v>
      </c>
      <c r="I3" s="16" t="n">
        <v>0.34</v>
      </c>
      <c r="J3" s="16" t="n">
        <v>0.12</v>
      </c>
      <c r="K3" s="16" t="n">
        <v>0.37</v>
      </c>
      <c r="L3" s="16" t="n">
        <v>0.17</v>
      </c>
      <c r="M3" s="17" t="n">
        <f aca="false">(I3*Brief!$B$19+J3*Brief!$B$20+K3*Brief!$B$21+L3*Brief!$B$22)/0.25</f>
        <v>0.982</v>
      </c>
      <c r="N3" s="18" t="n">
        <f aca="false">AVERAGEIF($B$2:$B$132,B3,$G$2:$G$132)</f>
        <v>12.8863414634146</v>
      </c>
      <c r="O3" s="17" t="n">
        <f aca="false">(H3/100)*M3/(G3/N3)</f>
        <v>1.00416170543801</v>
      </c>
      <c r="P3" s="19" t="n">
        <f aca="false">COUNTIFS($B$2:$B$132,B3,$O$2:$O$132,"&gt;"&amp;O3)+1</f>
        <v>34</v>
      </c>
    </row>
    <row r="4" customFormat="false" ht="15" hidden="false" customHeight="false" outlineLevel="0" collapsed="false">
      <c r="A4" s="13" t="s">
        <v>50</v>
      </c>
      <c r="B4" s="13" t="s">
        <v>15</v>
      </c>
      <c r="C4" s="13" t="s">
        <v>47</v>
      </c>
      <c r="D4" s="13" t="s">
        <v>48</v>
      </c>
      <c r="E4" s="14" t="n">
        <v>19</v>
      </c>
      <c r="F4" s="14" t="n">
        <v>308000</v>
      </c>
      <c r="G4" s="15" t="n">
        <v>12.69</v>
      </c>
      <c r="H4" s="13" t="n">
        <v>105</v>
      </c>
      <c r="I4" s="16" t="n">
        <v>0.33</v>
      </c>
      <c r="J4" s="16" t="n">
        <v>0.16</v>
      </c>
      <c r="K4" s="16" t="n">
        <v>0.33</v>
      </c>
      <c r="L4" s="16" t="n">
        <v>0.18</v>
      </c>
      <c r="M4" s="17" t="n">
        <f aca="false">(I4*Brief!$B$19+J4*Brief!$B$20+K4*Brief!$B$21+L4*Brief!$B$22)/0.25</f>
        <v>0.974</v>
      </c>
      <c r="N4" s="18" t="n">
        <f aca="false">AVERAGEIF($B$2:$B$132,B4,$G$2:$G$132)</f>
        <v>12.8863414634146</v>
      </c>
      <c r="O4" s="17" t="n">
        <f aca="false">(H4/100)*M4/(G4/N4)</f>
        <v>1.0385233581272</v>
      </c>
      <c r="P4" s="19" t="n">
        <f aca="false">COUNTIFS($B$2:$B$132,B4,$O$2:$O$132,"&gt;"&amp;O4)+1</f>
        <v>30</v>
      </c>
    </row>
    <row r="5" customFormat="false" ht="15" hidden="false" customHeight="false" outlineLevel="0" collapsed="false">
      <c r="A5" s="13" t="s">
        <v>51</v>
      </c>
      <c r="B5" s="13" t="s">
        <v>15</v>
      </c>
      <c r="C5" s="13" t="s">
        <v>47</v>
      </c>
      <c r="D5" s="13" t="s">
        <v>48</v>
      </c>
      <c r="E5" s="14" t="n">
        <v>16</v>
      </c>
      <c r="F5" s="14" t="n">
        <v>267000</v>
      </c>
      <c r="G5" s="15" t="n">
        <v>9.4</v>
      </c>
      <c r="H5" s="13" t="n">
        <v>103</v>
      </c>
      <c r="I5" s="16" t="n">
        <v>0.38</v>
      </c>
      <c r="J5" s="16" t="n">
        <v>0.14</v>
      </c>
      <c r="K5" s="16" t="n">
        <v>0.33</v>
      </c>
      <c r="L5" s="16" t="n">
        <v>0.14</v>
      </c>
      <c r="M5" s="17" t="n">
        <f aca="false">(I5*Brief!$B$19+J5*Brief!$B$20+K5*Brief!$B$21+L5*Brief!$B$22)/0.25</f>
        <v>0.932</v>
      </c>
      <c r="N5" s="18" t="n">
        <f aca="false">AVERAGEIF($B$2:$B$132,B5,$G$2:$G$132)</f>
        <v>12.8863414634146</v>
      </c>
      <c r="O5" s="17" t="n">
        <f aca="false">(H5/100)*M5/(G5/N5)</f>
        <v>1.31599705864037</v>
      </c>
      <c r="P5" s="19" t="n">
        <f aca="false">COUNTIFS($B$2:$B$132,B5,$O$2:$O$132,"&gt;"&amp;O5)+1</f>
        <v>18</v>
      </c>
    </row>
    <row r="6" customFormat="false" ht="15" hidden="false" customHeight="false" outlineLevel="0" collapsed="false">
      <c r="A6" s="13" t="s">
        <v>52</v>
      </c>
      <c r="B6" s="13" t="s">
        <v>15</v>
      </c>
      <c r="C6" s="13" t="s">
        <v>47</v>
      </c>
      <c r="D6" s="13" t="s">
        <v>48</v>
      </c>
      <c r="E6" s="14" t="n">
        <v>9</v>
      </c>
      <c r="F6" s="14" t="n">
        <v>243000</v>
      </c>
      <c r="G6" s="15" t="n">
        <v>11.36</v>
      </c>
      <c r="H6" s="13" t="n">
        <v>106</v>
      </c>
      <c r="I6" s="16" t="n">
        <v>0.35</v>
      </c>
      <c r="J6" s="16" t="n">
        <v>0.2</v>
      </c>
      <c r="K6" s="16" t="n">
        <v>0.32</v>
      </c>
      <c r="L6" s="16" t="n">
        <v>0.13</v>
      </c>
      <c r="M6" s="17" t="n">
        <f aca="false">(I6*Brief!$B$19+J6*Brief!$B$20+K6*Brief!$B$21+L6*Brief!$B$22)/0.25</f>
        <v>0.936</v>
      </c>
      <c r="N6" s="18" t="n">
        <f aca="false">AVERAGEIF($B$2:$B$132,B6,$G$2:$G$132)</f>
        <v>12.8863414634146</v>
      </c>
      <c r="O6" s="17" t="n">
        <f aca="false">(H6/100)*M6/(G6/N6)</f>
        <v>1.12546765372724</v>
      </c>
      <c r="P6" s="19" t="n">
        <f aca="false">COUNTIFS($B$2:$B$132,B6,$O$2:$O$132,"&gt;"&amp;O6)+1</f>
        <v>27</v>
      </c>
    </row>
    <row r="7" customFormat="false" ht="15" hidden="false" customHeight="false" outlineLevel="0" collapsed="false">
      <c r="A7" s="13" t="s">
        <v>53</v>
      </c>
      <c r="B7" s="13" t="s">
        <v>15</v>
      </c>
      <c r="C7" s="13" t="s">
        <v>47</v>
      </c>
      <c r="D7" s="13" t="s">
        <v>48</v>
      </c>
      <c r="E7" s="14" t="n">
        <v>10</v>
      </c>
      <c r="F7" s="14" t="n">
        <v>259000</v>
      </c>
      <c r="G7" s="15" t="n">
        <v>13.03</v>
      </c>
      <c r="H7" s="13" t="n">
        <v>104</v>
      </c>
      <c r="I7" s="16" t="n">
        <v>0.36</v>
      </c>
      <c r="J7" s="16" t="n">
        <v>0.13</v>
      </c>
      <c r="K7" s="16" t="n">
        <v>0.34</v>
      </c>
      <c r="L7" s="16" t="n">
        <v>0.18</v>
      </c>
      <c r="M7" s="17" t="n">
        <f aca="false">(I7*Brief!$B$19+J7*Brief!$B$20+K7*Brief!$B$21+L7*Brief!$B$22)/0.25</f>
        <v>0.98</v>
      </c>
      <c r="N7" s="18" t="n">
        <f aca="false">AVERAGEIF($B$2:$B$132,B7,$G$2:$G$132)</f>
        <v>12.8863414634146</v>
      </c>
      <c r="O7" s="17" t="n">
        <f aca="false">(H7/100)*M7/(G7/N7)</f>
        <v>1.0079631020347</v>
      </c>
      <c r="P7" s="19" t="n">
        <f aca="false">COUNTIFS($B$2:$B$132,B7,$O$2:$O$132,"&gt;"&amp;O7)+1</f>
        <v>34</v>
      </c>
    </row>
    <row r="8" customFormat="false" ht="15" hidden="false" customHeight="false" outlineLevel="0" collapsed="false">
      <c r="A8" s="13" t="s">
        <v>54</v>
      </c>
      <c r="B8" s="13" t="s">
        <v>15</v>
      </c>
      <c r="C8" s="13" t="s">
        <v>55</v>
      </c>
      <c r="D8" s="13" t="s">
        <v>56</v>
      </c>
      <c r="E8" s="14" t="n">
        <v>36</v>
      </c>
      <c r="F8" s="14" t="n">
        <v>47000</v>
      </c>
      <c r="G8" s="15" t="n">
        <v>10.99</v>
      </c>
      <c r="H8" s="13" t="n">
        <v>110</v>
      </c>
      <c r="I8" s="16" t="n">
        <v>0.31</v>
      </c>
      <c r="J8" s="16" t="n">
        <v>0.18</v>
      </c>
      <c r="K8" s="16" t="n">
        <v>0.35</v>
      </c>
      <c r="L8" s="16" t="n">
        <v>0.15</v>
      </c>
      <c r="M8" s="17" t="n">
        <f aca="false">(I8*Brief!$B$19+J8*Brief!$B$20+K8*Brief!$B$21+L8*Brief!$B$22)/0.25</f>
        <v>0.96</v>
      </c>
      <c r="N8" s="18" t="n">
        <f aca="false">AVERAGEIF($B$2:$B$132,B8,$G$2:$G$132)</f>
        <v>12.8863414634146</v>
      </c>
      <c r="O8" s="17" t="n">
        <f aca="false">(H8/100)*M8/(G8/N8)</f>
        <v>1.2382144299696</v>
      </c>
      <c r="P8" s="19" t="n">
        <f aca="false">COUNTIFS($B$2:$B$132,B8,$O$2:$O$132,"&gt;"&amp;O8)+1</f>
        <v>20</v>
      </c>
    </row>
    <row r="9" customFormat="false" ht="15" hidden="false" customHeight="false" outlineLevel="0" collapsed="false">
      <c r="A9" s="13" t="s">
        <v>57</v>
      </c>
      <c r="B9" s="13" t="s">
        <v>15</v>
      </c>
      <c r="C9" s="13" t="s">
        <v>55</v>
      </c>
      <c r="D9" s="13" t="s">
        <v>56</v>
      </c>
      <c r="E9" s="14" t="n">
        <v>20</v>
      </c>
      <c r="F9" s="14" t="n">
        <v>51000</v>
      </c>
      <c r="G9" s="15" t="n">
        <v>12.46</v>
      </c>
      <c r="H9" s="13" t="n">
        <v>119</v>
      </c>
      <c r="I9" s="16" t="n">
        <v>0.31</v>
      </c>
      <c r="J9" s="16" t="n">
        <v>0.19</v>
      </c>
      <c r="K9" s="16" t="n">
        <v>0.34</v>
      </c>
      <c r="L9" s="16" t="n">
        <v>0.16</v>
      </c>
      <c r="M9" s="17" t="n">
        <f aca="false">(I9*Brief!$B$19+J9*Brief!$B$20+K9*Brief!$B$21+L9*Brief!$B$22)/0.25</f>
        <v>0.97</v>
      </c>
      <c r="N9" s="18" t="n">
        <f aca="false">AVERAGEIF($B$2:$B$132,B9,$G$2:$G$132)</f>
        <v>12.8863414634146</v>
      </c>
      <c r="O9" s="17" t="n">
        <f aca="false">(H9/100)*M9/(G9/N9)</f>
        <v>1.19379646478487</v>
      </c>
      <c r="P9" s="19" t="n">
        <f aca="false">COUNTIFS($B$2:$B$132,B9,$O$2:$O$132,"&gt;"&amp;O9)+1</f>
        <v>24</v>
      </c>
    </row>
    <row r="10" customFormat="false" ht="15" hidden="false" customHeight="false" outlineLevel="0" collapsed="false">
      <c r="A10" s="13" t="s">
        <v>58</v>
      </c>
      <c r="B10" s="13" t="s">
        <v>15</v>
      </c>
      <c r="C10" s="13" t="s">
        <v>55</v>
      </c>
      <c r="D10" s="13" t="s">
        <v>56</v>
      </c>
      <c r="E10" s="14" t="n">
        <v>27</v>
      </c>
      <c r="F10" s="14" t="n">
        <v>43000</v>
      </c>
      <c r="G10" s="15" t="n">
        <v>13.87</v>
      </c>
      <c r="H10" s="13" t="n">
        <v>114</v>
      </c>
      <c r="I10" s="16" t="n">
        <v>0.28</v>
      </c>
      <c r="J10" s="16" t="n">
        <v>0.19</v>
      </c>
      <c r="K10" s="16" t="n">
        <v>0.4</v>
      </c>
      <c r="L10" s="16" t="n">
        <v>0.13</v>
      </c>
      <c r="M10" s="17" t="n">
        <f aca="false">(I10*Brief!$B$19+J10*Brief!$B$20+K10*Brief!$B$21+L10*Brief!$B$22)/0.25</f>
        <v>0.982</v>
      </c>
      <c r="N10" s="18" t="n">
        <f aca="false">AVERAGEIF($B$2:$B$132,B10,$G$2:$G$132)</f>
        <v>12.8863414634146</v>
      </c>
      <c r="O10" s="17" t="n">
        <f aca="false">(H10/100)*M10/(G10/N10)</f>
        <v>1.04008662880053</v>
      </c>
      <c r="P10" s="19" t="n">
        <f aca="false">COUNTIFS($B$2:$B$132,B10,$O$2:$O$132,"&gt;"&amp;O10)+1</f>
        <v>30</v>
      </c>
    </row>
    <row r="11" customFormat="false" ht="15" hidden="false" customHeight="false" outlineLevel="0" collapsed="false">
      <c r="A11" s="13" t="s">
        <v>59</v>
      </c>
      <c r="B11" s="13" t="s">
        <v>15</v>
      </c>
      <c r="C11" s="13" t="s">
        <v>55</v>
      </c>
      <c r="D11" s="13" t="s">
        <v>56</v>
      </c>
      <c r="E11" s="14" t="n">
        <v>25</v>
      </c>
      <c r="F11" s="14" t="n">
        <v>37000</v>
      </c>
      <c r="G11" s="15" t="n">
        <v>11.34</v>
      </c>
      <c r="H11" s="13" t="n">
        <v>105</v>
      </c>
      <c r="I11" s="16" t="n">
        <v>0.29</v>
      </c>
      <c r="J11" s="16" t="n">
        <v>0.2</v>
      </c>
      <c r="K11" s="16" t="n">
        <v>0.35</v>
      </c>
      <c r="L11" s="16" t="n">
        <v>0.16</v>
      </c>
      <c r="M11" s="17" t="n">
        <f aca="false">(I11*Brief!$B$19+J11*Brief!$B$20+K11*Brief!$B$21+L11*Brief!$B$22)/0.25</f>
        <v>0.978</v>
      </c>
      <c r="N11" s="18" t="n">
        <f aca="false">AVERAGEIF($B$2:$B$132,B11,$G$2:$G$132)</f>
        <v>12.8863414634146</v>
      </c>
      <c r="O11" s="17" t="n">
        <f aca="false">(H11/100)*M11/(G11/N11)</f>
        <v>1.1669298102981</v>
      </c>
      <c r="P11" s="19" t="n">
        <f aca="false">COUNTIFS($B$2:$B$132,B11,$O$2:$O$132,"&gt;"&amp;O11)+1</f>
        <v>25</v>
      </c>
    </row>
    <row r="12" customFormat="false" ht="15" hidden="false" customHeight="false" outlineLevel="0" collapsed="false">
      <c r="A12" s="13" t="s">
        <v>60</v>
      </c>
      <c r="B12" s="13" t="s">
        <v>15</v>
      </c>
      <c r="C12" s="13" t="s">
        <v>55</v>
      </c>
      <c r="D12" s="13" t="s">
        <v>56</v>
      </c>
      <c r="E12" s="14" t="n">
        <v>34</v>
      </c>
      <c r="F12" s="14" t="n">
        <v>32000</v>
      </c>
      <c r="G12" s="15" t="n">
        <v>13.39</v>
      </c>
      <c r="H12" s="13" t="n">
        <v>110</v>
      </c>
      <c r="I12" s="16" t="n">
        <v>0.33</v>
      </c>
      <c r="J12" s="16" t="n">
        <v>0.18</v>
      </c>
      <c r="K12" s="16" t="n">
        <v>0.35</v>
      </c>
      <c r="L12" s="16" t="n">
        <v>0.14</v>
      </c>
      <c r="M12" s="17" t="n">
        <f aca="false">(I12*Brief!$B$19+J12*Brief!$B$20+K12*Brief!$B$21+L12*Brief!$B$22)/0.25</f>
        <v>0.958</v>
      </c>
      <c r="N12" s="18" t="n">
        <f aca="false">AVERAGEIF($B$2:$B$132,B12,$G$2:$G$132)</f>
        <v>12.8863414634146</v>
      </c>
      <c r="O12" s="17" t="n">
        <f aca="false">(H12/100)*M12/(G12/N12)</f>
        <v>1.01416180986903</v>
      </c>
      <c r="P12" s="19" t="n">
        <f aca="false">COUNTIFS($B$2:$B$132,B12,$O$2:$O$132,"&gt;"&amp;O12)+1</f>
        <v>31</v>
      </c>
    </row>
    <row r="13" customFormat="false" ht="15" hidden="false" customHeight="false" outlineLevel="0" collapsed="false">
      <c r="A13" s="13" t="s">
        <v>61</v>
      </c>
      <c r="B13" s="13" t="s">
        <v>15</v>
      </c>
      <c r="C13" s="13" t="s">
        <v>55</v>
      </c>
      <c r="D13" s="13" t="s">
        <v>56</v>
      </c>
      <c r="E13" s="14" t="n">
        <v>19</v>
      </c>
      <c r="F13" s="14" t="n">
        <v>27000</v>
      </c>
      <c r="G13" s="15" t="n">
        <v>10.45</v>
      </c>
      <c r="H13" s="13" t="n">
        <v>121</v>
      </c>
      <c r="I13" s="16" t="n">
        <v>0.29</v>
      </c>
      <c r="J13" s="16" t="n">
        <v>0.2</v>
      </c>
      <c r="K13" s="16" t="n">
        <v>0.37</v>
      </c>
      <c r="L13" s="16" t="n">
        <v>0.14</v>
      </c>
      <c r="M13" s="17" t="n">
        <f aca="false">(I13*Brief!$B$19+J13*Brief!$B$20+K13*Brief!$B$21+L13*Brief!$B$22)/0.25</f>
        <v>0.974</v>
      </c>
      <c r="N13" s="18" t="n">
        <f aca="false">AVERAGEIF($B$2:$B$132,B13,$G$2:$G$132)</f>
        <v>12.8863414634146</v>
      </c>
      <c r="O13" s="17" t="n">
        <f aca="false">(H13/100)*M13/(G13/N13)</f>
        <v>1.45330802567394</v>
      </c>
      <c r="P13" s="19" t="n">
        <f aca="false">COUNTIFS($B$2:$B$132,B13,$O$2:$O$132,"&gt;"&amp;O13)+1</f>
        <v>10</v>
      </c>
    </row>
    <row r="14" customFormat="false" ht="15" hidden="false" customHeight="false" outlineLevel="0" collapsed="false">
      <c r="A14" s="13" t="s">
        <v>62</v>
      </c>
      <c r="B14" s="13" t="s">
        <v>15</v>
      </c>
      <c r="C14" s="13" t="s">
        <v>55</v>
      </c>
      <c r="D14" s="13" t="s">
        <v>56</v>
      </c>
      <c r="E14" s="14" t="n">
        <v>36</v>
      </c>
      <c r="F14" s="14" t="n">
        <v>26000</v>
      </c>
      <c r="G14" s="15" t="n">
        <v>13.55</v>
      </c>
      <c r="H14" s="13" t="n">
        <v>115</v>
      </c>
      <c r="I14" s="16" t="n">
        <v>0.3</v>
      </c>
      <c r="J14" s="16" t="n">
        <v>0.17</v>
      </c>
      <c r="K14" s="16" t="n">
        <v>0.38</v>
      </c>
      <c r="L14" s="16" t="n">
        <v>0.14</v>
      </c>
      <c r="M14" s="17" t="n">
        <f aca="false">(I14*Brief!$B$19+J14*Brief!$B$20+K14*Brief!$B$21+L14*Brief!$B$22)/0.25</f>
        <v>0.968</v>
      </c>
      <c r="N14" s="18" t="n">
        <f aca="false">AVERAGEIF($B$2:$B$132,B14,$G$2:$G$132)</f>
        <v>12.8863414634146</v>
      </c>
      <c r="O14" s="17" t="n">
        <f aca="false">(H14/100)*M14/(G14/N14)</f>
        <v>1.05867714517145</v>
      </c>
      <c r="P14" s="19" t="n">
        <f aca="false">COUNTIFS($B$2:$B$132,B14,$O$2:$O$132,"&gt;"&amp;O14)+1</f>
        <v>28</v>
      </c>
    </row>
    <row r="15" customFormat="false" ht="15" hidden="false" customHeight="false" outlineLevel="0" collapsed="false">
      <c r="A15" s="13" t="s">
        <v>63</v>
      </c>
      <c r="B15" s="13" t="s">
        <v>15</v>
      </c>
      <c r="C15" s="13" t="s">
        <v>55</v>
      </c>
      <c r="D15" s="13" t="s">
        <v>56</v>
      </c>
      <c r="E15" s="14" t="n">
        <v>25</v>
      </c>
      <c r="F15" s="14" t="n">
        <v>24000</v>
      </c>
      <c r="G15" s="15" t="n">
        <v>10.89</v>
      </c>
      <c r="H15" s="13" t="n">
        <v>112</v>
      </c>
      <c r="I15" s="16" t="n">
        <v>0.32</v>
      </c>
      <c r="J15" s="16" t="n">
        <v>0.2</v>
      </c>
      <c r="K15" s="16" t="n">
        <v>0.34</v>
      </c>
      <c r="L15" s="16" t="n">
        <v>0.15</v>
      </c>
      <c r="M15" s="17" t="n">
        <f aca="false">(I15*Brief!$B$19+J15*Brief!$B$20+K15*Brief!$B$21+L15*Brief!$B$22)/0.25</f>
        <v>0.97</v>
      </c>
      <c r="N15" s="18" t="n">
        <f aca="false">AVERAGEIF($B$2:$B$132,B15,$G$2:$G$132)</f>
        <v>12.8863414634146</v>
      </c>
      <c r="O15" s="17" t="n">
        <f aca="false">(H15/100)*M15/(G15/N15)</f>
        <v>1.28555751752559</v>
      </c>
      <c r="P15" s="19" t="n">
        <f aca="false">COUNTIFS($B$2:$B$132,B15,$O$2:$O$132,"&gt;"&amp;O15)+1</f>
        <v>19</v>
      </c>
    </row>
    <row r="16" customFormat="false" ht="15" hidden="false" customHeight="false" outlineLevel="0" collapsed="false">
      <c r="A16" s="13" t="s">
        <v>64</v>
      </c>
      <c r="B16" s="13" t="s">
        <v>15</v>
      </c>
      <c r="C16" s="13" t="s">
        <v>65</v>
      </c>
      <c r="D16" s="13" t="s">
        <v>66</v>
      </c>
      <c r="E16" s="14" t="n">
        <v>38</v>
      </c>
      <c r="F16" s="14" t="n">
        <v>102000</v>
      </c>
      <c r="G16" s="15" t="n">
        <v>15.62</v>
      </c>
      <c r="H16" s="13" t="n">
        <v>153</v>
      </c>
      <c r="I16" s="16" t="n">
        <v>0.16</v>
      </c>
      <c r="J16" s="16" t="n">
        <v>0.27</v>
      </c>
      <c r="K16" s="16" t="n">
        <v>0.29</v>
      </c>
      <c r="L16" s="16" t="n">
        <v>0.29</v>
      </c>
      <c r="M16" s="17" t="n">
        <f aca="false">(I16*Brief!$B$19+J16*Brief!$B$20+K16*Brief!$B$21+L16*Brief!$B$22)/0.25</f>
        <v>1.066</v>
      </c>
      <c r="N16" s="18" t="n">
        <f aca="false">AVERAGEIF($B$2:$B$132,B16,$G$2:$G$132)</f>
        <v>12.8863414634146</v>
      </c>
      <c r="O16" s="17" t="n">
        <f aca="false">(H16/100)*M16/(G16/N16)</f>
        <v>1.34554194622279</v>
      </c>
      <c r="P16" s="19" t="n">
        <f aca="false">COUNTIFS($B$2:$B$132,B16,$O$2:$O$132,"&gt;"&amp;O16)+1</f>
        <v>16</v>
      </c>
    </row>
    <row r="17" customFormat="false" ht="15" hidden="false" customHeight="false" outlineLevel="0" collapsed="false">
      <c r="A17" s="13" t="s">
        <v>67</v>
      </c>
      <c r="B17" s="13" t="s">
        <v>15</v>
      </c>
      <c r="C17" s="13" t="s">
        <v>65</v>
      </c>
      <c r="D17" s="13" t="s">
        <v>66</v>
      </c>
      <c r="E17" s="14" t="n">
        <v>20</v>
      </c>
      <c r="F17" s="14" t="n">
        <v>56000</v>
      </c>
      <c r="G17" s="15" t="n">
        <v>13.26</v>
      </c>
      <c r="H17" s="13" t="n">
        <v>154</v>
      </c>
      <c r="I17" s="16" t="n">
        <v>0.15</v>
      </c>
      <c r="J17" s="16" t="n">
        <v>0.28</v>
      </c>
      <c r="K17" s="16" t="n">
        <v>0.3</v>
      </c>
      <c r="L17" s="16" t="n">
        <v>0.28</v>
      </c>
      <c r="M17" s="17" t="n">
        <f aca="false">(I17*Brief!$B$19+J17*Brief!$B$20+K17*Brief!$B$21+L17*Brief!$B$22)/0.25</f>
        <v>1.066</v>
      </c>
      <c r="N17" s="18" t="n">
        <f aca="false">AVERAGEIF($B$2:$B$132,B17,$G$2:$G$132)</f>
        <v>12.8863414634146</v>
      </c>
      <c r="O17" s="17" t="n">
        <f aca="false">(H17/100)*M17/(G17/N17)</f>
        <v>1.59537960784314</v>
      </c>
      <c r="P17" s="19" t="n">
        <f aca="false">COUNTIFS($B$2:$B$132,B17,$O$2:$O$132,"&gt;"&amp;O17)+1</f>
        <v>3</v>
      </c>
    </row>
    <row r="18" customFormat="false" ht="15" hidden="false" customHeight="false" outlineLevel="0" collapsed="false">
      <c r="A18" s="13" t="s">
        <v>68</v>
      </c>
      <c r="B18" s="13" t="s">
        <v>15</v>
      </c>
      <c r="C18" s="13" t="s">
        <v>65</v>
      </c>
      <c r="D18" s="13" t="s">
        <v>66</v>
      </c>
      <c r="E18" s="14" t="n">
        <v>24</v>
      </c>
      <c r="F18" s="14" t="n">
        <v>75000</v>
      </c>
      <c r="G18" s="15" t="n">
        <v>15.11</v>
      </c>
      <c r="H18" s="13" t="n">
        <v>134</v>
      </c>
      <c r="I18" s="16" t="n">
        <v>0.14</v>
      </c>
      <c r="J18" s="16" t="n">
        <v>0.28</v>
      </c>
      <c r="K18" s="16" t="n">
        <v>0.33</v>
      </c>
      <c r="L18" s="16" t="n">
        <v>0.25</v>
      </c>
      <c r="M18" s="17" t="n">
        <f aca="false">(I18*Brief!$B$19+J18*Brief!$B$20+K18*Brief!$B$21+L18*Brief!$B$22)/0.25</f>
        <v>1.054</v>
      </c>
      <c r="N18" s="18" t="n">
        <f aca="false">AVERAGEIF($B$2:$B$132,B18,$G$2:$G$132)</f>
        <v>12.8863414634146</v>
      </c>
      <c r="O18" s="17" t="n">
        <f aca="false">(H18/100)*M18/(G18/N18)</f>
        <v>1.20451047182451</v>
      </c>
      <c r="P18" s="19" t="n">
        <f aca="false">COUNTIFS($B$2:$B$132,B18,$O$2:$O$132,"&gt;"&amp;O18)+1</f>
        <v>23</v>
      </c>
    </row>
    <row r="19" customFormat="false" ht="15" hidden="false" customHeight="false" outlineLevel="0" collapsed="false">
      <c r="A19" s="13" t="s">
        <v>69</v>
      </c>
      <c r="B19" s="13" t="s">
        <v>15</v>
      </c>
      <c r="C19" s="13" t="s">
        <v>65</v>
      </c>
      <c r="D19" s="13" t="s">
        <v>66</v>
      </c>
      <c r="E19" s="14" t="n">
        <v>25</v>
      </c>
      <c r="F19" s="14" t="n">
        <v>80000</v>
      </c>
      <c r="G19" s="15" t="n">
        <v>13.4</v>
      </c>
      <c r="H19" s="13" t="n">
        <v>149</v>
      </c>
      <c r="I19" s="16" t="n">
        <v>0.15</v>
      </c>
      <c r="J19" s="16" t="n">
        <v>0.28</v>
      </c>
      <c r="K19" s="16" t="n">
        <v>0.31</v>
      </c>
      <c r="L19" s="16" t="n">
        <v>0.26</v>
      </c>
      <c r="M19" s="17" t="n">
        <f aca="false">(I19*Brief!$B$19+J19*Brief!$B$20+K19*Brief!$B$21+L19*Brief!$B$22)/0.25</f>
        <v>1.05</v>
      </c>
      <c r="N19" s="18" t="n">
        <f aca="false">AVERAGEIF($B$2:$B$132,B19,$G$2:$G$132)</f>
        <v>12.8863414634146</v>
      </c>
      <c r="O19" s="17" t="n">
        <f aca="false">(H19/100)*M19/(G19/N19)</f>
        <v>1.50452844921733</v>
      </c>
      <c r="P19" s="19" t="n">
        <f aca="false">COUNTIFS($B$2:$B$132,B19,$O$2:$O$132,"&gt;"&amp;O19)+1</f>
        <v>7</v>
      </c>
    </row>
    <row r="20" customFormat="false" ht="15" hidden="false" customHeight="false" outlineLevel="0" collapsed="false">
      <c r="A20" s="13" t="s">
        <v>70</v>
      </c>
      <c r="B20" s="13" t="s">
        <v>15</v>
      </c>
      <c r="C20" s="13" t="s">
        <v>65</v>
      </c>
      <c r="D20" s="13" t="s">
        <v>66</v>
      </c>
      <c r="E20" s="14" t="n">
        <v>9</v>
      </c>
      <c r="F20" s="14" t="n">
        <v>86000</v>
      </c>
      <c r="G20" s="15" t="n">
        <v>13.49</v>
      </c>
      <c r="H20" s="13" t="n">
        <v>148</v>
      </c>
      <c r="I20" s="16" t="n">
        <v>0.2</v>
      </c>
      <c r="J20" s="16" t="n">
        <v>0.27</v>
      </c>
      <c r="K20" s="16" t="n">
        <v>0.29</v>
      </c>
      <c r="L20" s="16" t="n">
        <v>0.23</v>
      </c>
      <c r="M20" s="17" t="n">
        <f aca="false">(I20*Brief!$B$19+J20*Brief!$B$20+K20*Brief!$B$21+L20*Brief!$B$22)/0.25</f>
        <v>1.006</v>
      </c>
      <c r="N20" s="18" t="n">
        <f aca="false">AVERAGEIF($B$2:$B$132,B20,$G$2:$G$132)</f>
        <v>12.8863414634146</v>
      </c>
      <c r="O20" s="17" t="n">
        <f aca="false">(H20/100)*M20/(G20/N20)</f>
        <v>1.42225471297619</v>
      </c>
      <c r="P20" s="19" t="n">
        <f aca="false">COUNTIFS($B$2:$B$132,B20,$O$2:$O$132,"&gt;"&amp;O20)+1</f>
        <v>14</v>
      </c>
    </row>
    <row r="21" customFormat="false" ht="15" hidden="false" customHeight="false" outlineLevel="0" collapsed="false">
      <c r="A21" s="13" t="s">
        <v>71</v>
      </c>
      <c r="B21" s="13" t="s">
        <v>15</v>
      </c>
      <c r="C21" s="13" t="s">
        <v>65</v>
      </c>
      <c r="D21" s="13" t="s">
        <v>66</v>
      </c>
      <c r="E21" s="14" t="n">
        <v>25</v>
      </c>
      <c r="F21" s="14" t="n">
        <v>47000</v>
      </c>
      <c r="G21" s="15" t="n">
        <v>14.3</v>
      </c>
      <c r="H21" s="13" t="n">
        <v>150</v>
      </c>
      <c r="I21" s="16" t="n">
        <v>0.15</v>
      </c>
      <c r="J21" s="16" t="n">
        <v>0.28</v>
      </c>
      <c r="K21" s="16" t="n">
        <v>0.29</v>
      </c>
      <c r="L21" s="16" t="n">
        <v>0.28</v>
      </c>
      <c r="M21" s="17" t="n">
        <f aca="false">(I21*Brief!$B$19+J21*Brief!$B$20+K21*Brief!$B$21+L21*Brief!$B$22)/0.25</f>
        <v>1.054</v>
      </c>
      <c r="N21" s="18" t="n">
        <f aca="false">AVERAGEIF($B$2:$B$132,B21,$G$2:$G$132)</f>
        <v>12.8863414634146</v>
      </c>
      <c r="O21" s="17" t="n">
        <f aca="false">(H21/100)*M21/(G21/N21)</f>
        <v>1.42470670305304</v>
      </c>
      <c r="P21" s="19" t="n">
        <f aca="false">COUNTIFS($B$2:$B$132,B21,$O$2:$O$132,"&gt;"&amp;O21)+1</f>
        <v>12</v>
      </c>
    </row>
    <row r="22" customFormat="false" ht="15" hidden="false" customHeight="false" outlineLevel="0" collapsed="false">
      <c r="A22" s="13" t="s">
        <v>72</v>
      </c>
      <c r="B22" s="13" t="s">
        <v>15</v>
      </c>
      <c r="C22" s="13" t="s">
        <v>65</v>
      </c>
      <c r="D22" s="13" t="s">
        <v>66</v>
      </c>
      <c r="E22" s="14" t="n">
        <v>21</v>
      </c>
      <c r="F22" s="14" t="n">
        <v>67000</v>
      </c>
      <c r="G22" s="15" t="n">
        <v>14.49</v>
      </c>
      <c r="H22" s="13" t="n">
        <v>155</v>
      </c>
      <c r="I22" s="16" t="n">
        <v>0.18</v>
      </c>
      <c r="J22" s="16" t="n">
        <v>0.29</v>
      </c>
      <c r="K22" s="16" t="n">
        <v>0.25</v>
      </c>
      <c r="L22" s="16" t="n">
        <v>0.28</v>
      </c>
      <c r="M22" s="17" t="n">
        <f aca="false">(I22*Brief!$B$19+J22*Brief!$B$20+K22*Brief!$B$21+L22*Brief!$B$22)/0.25</f>
        <v>1.032</v>
      </c>
      <c r="N22" s="18" t="n">
        <f aca="false">AVERAGEIF($B$2:$B$132,B22,$G$2:$G$132)</f>
        <v>12.8863414634146</v>
      </c>
      <c r="O22" s="17" t="n">
        <f aca="false">(H22/100)*M22/(G22/N22)</f>
        <v>1.42256672221381</v>
      </c>
      <c r="P22" s="19" t="n">
        <f aca="false">COUNTIFS($B$2:$B$132,B22,$O$2:$O$132,"&gt;"&amp;O22)+1</f>
        <v>13</v>
      </c>
    </row>
    <row r="23" customFormat="false" ht="15" hidden="false" customHeight="false" outlineLevel="0" collapsed="false">
      <c r="A23" s="13" t="s">
        <v>73</v>
      </c>
      <c r="B23" s="13" t="s">
        <v>15</v>
      </c>
      <c r="C23" s="13" t="s">
        <v>74</v>
      </c>
      <c r="D23" s="13" t="s">
        <v>75</v>
      </c>
      <c r="E23" s="14" t="n">
        <v>14</v>
      </c>
      <c r="F23" s="14" t="n">
        <v>35000</v>
      </c>
      <c r="G23" s="15" t="n">
        <v>18.44</v>
      </c>
      <c r="H23" s="13" t="n">
        <v>98</v>
      </c>
      <c r="I23" s="16" t="n">
        <v>0.38</v>
      </c>
      <c r="J23" s="16" t="n">
        <v>0.42</v>
      </c>
      <c r="K23" s="16" t="n">
        <v>0.2</v>
      </c>
      <c r="L23" s="16" t="n">
        <v>0</v>
      </c>
      <c r="M23" s="17" t="n">
        <f aca="false">(I23*Brief!$B$19+J23*Brief!$B$20+K23*Brief!$B$21+L23*Brief!$B$22)/0.25</f>
        <v>0.804</v>
      </c>
      <c r="N23" s="18" t="n">
        <f aca="false">AVERAGEIF($B$2:$B$132,B23,$G$2:$G$132)</f>
        <v>12.8863414634146</v>
      </c>
      <c r="O23" s="17" t="n">
        <f aca="false">(H23/100)*M23/(G23/N23)</f>
        <v>0.550618555631977</v>
      </c>
      <c r="P23" s="19" t="n">
        <f aca="false">COUNTIFS($B$2:$B$132,B23,$O$2:$O$132,"&gt;"&amp;O23)+1</f>
        <v>39</v>
      </c>
    </row>
    <row r="24" customFormat="false" ht="15" hidden="false" customHeight="false" outlineLevel="0" collapsed="false">
      <c r="A24" s="13" t="s">
        <v>76</v>
      </c>
      <c r="B24" s="13" t="s">
        <v>15</v>
      </c>
      <c r="C24" s="13" t="s">
        <v>74</v>
      </c>
      <c r="D24" s="13" t="s">
        <v>75</v>
      </c>
      <c r="E24" s="14" t="n">
        <v>26</v>
      </c>
      <c r="F24" s="14" t="n">
        <v>42000</v>
      </c>
      <c r="G24" s="15" t="n">
        <v>14.06</v>
      </c>
      <c r="H24" s="13" t="n">
        <v>103</v>
      </c>
      <c r="I24" s="16" t="n">
        <v>0.38</v>
      </c>
      <c r="J24" s="16" t="n">
        <v>0.43</v>
      </c>
      <c r="K24" s="16" t="n">
        <v>0.19</v>
      </c>
      <c r="L24" s="16" t="n">
        <v>0</v>
      </c>
      <c r="M24" s="17" t="n">
        <f aca="false">(I24*Brief!$B$19+J24*Brief!$B$20+K24*Brief!$B$21+L24*Brief!$B$22)/0.25</f>
        <v>0.8</v>
      </c>
      <c r="N24" s="18" t="n">
        <f aca="false">AVERAGEIF($B$2:$B$132,B24,$G$2:$G$132)</f>
        <v>12.8863414634146</v>
      </c>
      <c r="O24" s="17" t="n">
        <f aca="false">(H24/100)*M24/(G24/N24)</f>
        <v>0.755216597855879</v>
      </c>
      <c r="P24" s="19" t="n">
        <f aca="false">COUNTIFS($B$2:$B$132,B24,$O$2:$O$132,"&gt;"&amp;O24)+1</f>
        <v>35</v>
      </c>
    </row>
    <row r="25" customFormat="false" ht="15" hidden="false" customHeight="false" outlineLevel="0" collapsed="false">
      <c r="A25" s="13" t="s">
        <v>77</v>
      </c>
      <c r="B25" s="13" t="s">
        <v>15</v>
      </c>
      <c r="C25" s="13" t="s">
        <v>74</v>
      </c>
      <c r="D25" s="13" t="s">
        <v>75</v>
      </c>
      <c r="E25" s="14" t="n">
        <v>38</v>
      </c>
      <c r="F25" s="14" t="n">
        <v>78000</v>
      </c>
      <c r="G25" s="15" t="n">
        <v>15.81</v>
      </c>
      <c r="H25" s="13" t="n">
        <v>94</v>
      </c>
      <c r="I25" s="16" t="n">
        <v>0.37</v>
      </c>
      <c r="J25" s="16" t="n">
        <v>0.46</v>
      </c>
      <c r="K25" s="16" t="n">
        <v>0.17</v>
      </c>
      <c r="L25" s="16" t="n">
        <v>0</v>
      </c>
      <c r="M25" s="17" t="n">
        <f aca="false">(I25*Brief!$B$19+J25*Brief!$B$20+K25*Brief!$B$21+L25*Brief!$B$22)/0.25</f>
        <v>0.794</v>
      </c>
      <c r="N25" s="18" t="n">
        <f aca="false">AVERAGEIF($B$2:$B$132,B25,$G$2:$G$132)</f>
        <v>12.8863414634146</v>
      </c>
      <c r="O25" s="17" t="n">
        <f aca="false">(H25/100)*M25/(G25/N25)</f>
        <v>0.608339646719427</v>
      </c>
      <c r="P25" s="19" t="n">
        <f aca="false">COUNTIFS($B$2:$B$132,B25,$O$2:$O$132,"&gt;"&amp;O25)+1</f>
        <v>38</v>
      </c>
    </row>
    <row r="26" customFormat="false" ht="15" hidden="false" customHeight="false" outlineLevel="0" collapsed="false">
      <c r="A26" s="13" t="s">
        <v>78</v>
      </c>
      <c r="B26" s="13" t="s">
        <v>15</v>
      </c>
      <c r="C26" s="13" t="s">
        <v>74</v>
      </c>
      <c r="D26" s="13" t="s">
        <v>75</v>
      </c>
      <c r="E26" s="14" t="n">
        <v>23</v>
      </c>
      <c r="F26" s="14" t="n">
        <v>52000</v>
      </c>
      <c r="G26" s="15" t="n">
        <v>20.65</v>
      </c>
      <c r="H26" s="13" t="n">
        <v>90</v>
      </c>
      <c r="I26" s="16" t="n">
        <v>0.41</v>
      </c>
      <c r="J26" s="16" t="n">
        <v>0.41</v>
      </c>
      <c r="K26" s="16" t="n">
        <v>0.19</v>
      </c>
      <c r="L26" s="16" t="n">
        <v>0</v>
      </c>
      <c r="M26" s="17" t="n">
        <f aca="false">(I26*Brief!$B$19+J26*Brief!$B$20+K26*Brief!$B$21+L26*Brief!$B$22)/0.25</f>
        <v>0.802</v>
      </c>
      <c r="N26" s="18" t="n">
        <f aca="false">AVERAGEIF($B$2:$B$132,B26,$G$2:$G$132)</f>
        <v>12.8863414634146</v>
      </c>
      <c r="O26" s="17" t="n">
        <f aca="false">(H26/100)*M26/(G26/N26)</f>
        <v>0.450429117108605</v>
      </c>
      <c r="P26" s="19" t="n">
        <f aca="false">COUNTIFS($B$2:$B$132,B26,$O$2:$O$132,"&gt;"&amp;O26)+1</f>
        <v>41</v>
      </c>
    </row>
    <row r="27" customFormat="false" ht="15" hidden="false" customHeight="false" outlineLevel="0" collapsed="false">
      <c r="A27" s="13" t="s">
        <v>79</v>
      </c>
      <c r="B27" s="13" t="s">
        <v>15</v>
      </c>
      <c r="C27" s="13" t="s">
        <v>74</v>
      </c>
      <c r="D27" s="13" t="s">
        <v>75</v>
      </c>
      <c r="E27" s="14" t="n">
        <v>8</v>
      </c>
      <c r="F27" s="14" t="n">
        <v>46000</v>
      </c>
      <c r="G27" s="15" t="n">
        <v>19.13</v>
      </c>
      <c r="H27" s="13" t="n">
        <v>97</v>
      </c>
      <c r="I27" s="16" t="n">
        <v>0.38</v>
      </c>
      <c r="J27" s="16" t="n">
        <v>0.42</v>
      </c>
      <c r="K27" s="16" t="n">
        <v>0.19</v>
      </c>
      <c r="L27" s="16" t="n">
        <v>0</v>
      </c>
      <c r="M27" s="17" t="n">
        <f aca="false">(I27*Brief!$B$19+J27*Brief!$B$20+K27*Brief!$B$21+L27*Brief!$B$22)/0.25</f>
        <v>0.792</v>
      </c>
      <c r="N27" s="18" t="n">
        <f aca="false">AVERAGEIF($B$2:$B$132,B27,$G$2:$G$132)</f>
        <v>12.8863414634146</v>
      </c>
      <c r="O27" s="17" t="n">
        <f aca="false">(H27/100)*M27/(G27/N27)</f>
        <v>0.517501461884666</v>
      </c>
      <c r="P27" s="19" t="n">
        <f aca="false">COUNTIFS($B$2:$B$132,B27,$O$2:$O$132,"&gt;"&amp;O27)+1</f>
        <v>40</v>
      </c>
    </row>
    <row r="28" customFormat="false" ht="15" hidden="false" customHeight="false" outlineLevel="0" collapsed="false">
      <c r="A28" s="13" t="s">
        <v>80</v>
      </c>
      <c r="B28" s="13" t="s">
        <v>15</v>
      </c>
      <c r="C28" s="13" t="s">
        <v>74</v>
      </c>
      <c r="D28" s="13" t="s">
        <v>75</v>
      </c>
      <c r="E28" s="14" t="n">
        <v>17</v>
      </c>
      <c r="F28" s="14" t="n">
        <v>77000</v>
      </c>
      <c r="G28" s="15" t="n">
        <v>15.46</v>
      </c>
      <c r="H28" s="13" t="n">
        <v>93</v>
      </c>
      <c r="I28" s="16" t="n">
        <v>0.38</v>
      </c>
      <c r="J28" s="16" t="n">
        <v>0.42</v>
      </c>
      <c r="K28" s="16" t="n">
        <v>0.21</v>
      </c>
      <c r="L28" s="16" t="n">
        <v>0</v>
      </c>
      <c r="M28" s="17" t="n">
        <f aca="false">(I28*Brief!$B$19+J28*Brief!$B$20+K28*Brief!$B$21+L28*Brief!$B$22)/0.25</f>
        <v>0.816</v>
      </c>
      <c r="N28" s="18" t="n">
        <f aca="false">AVERAGEIF($B$2:$B$132,B28,$G$2:$G$132)</f>
        <v>12.8863414634146</v>
      </c>
      <c r="O28" s="17" t="n">
        <f aca="false">(H28/100)*M28/(G28/N28)</f>
        <v>0.632547659104534</v>
      </c>
      <c r="P28" s="19" t="n">
        <f aca="false">COUNTIFS($B$2:$B$132,B28,$O$2:$O$132,"&gt;"&amp;O28)+1</f>
        <v>37</v>
      </c>
    </row>
    <row r="29" customFormat="false" ht="15" hidden="false" customHeight="false" outlineLevel="0" collapsed="false">
      <c r="A29" s="13" t="s">
        <v>81</v>
      </c>
      <c r="B29" s="13" t="s">
        <v>15</v>
      </c>
      <c r="C29" s="13" t="s">
        <v>74</v>
      </c>
      <c r="D29" s="13" t="s">
        <v>75</v>
      </c>
      <c r="E29" s="14" t="n">
        <v>17</v>
      </c>
      <c r="F29" s="14" t="n">
        <v>74000</v>
      </c>
      <c r="G29" s="15" t="n">
        <v>15.16</v>
      </c>
      <c r="H29" s="13" t="n">
        <v>98</v>
      </c>
      <c r="I29" s="16" t="n">
        <v>0.41</v>
      </c>
      <c r="J29" s="16" t="n">
        <v>0.41</v>
      </c>
      <c r="K29" s="16" t="n">
        <v>0.18</v>
      </c>
      <c r="L29" s="16" t="n">
        <v>0</v>
      </c>
      <c r="M29" s="17" t="n">
        <f aca="false">(I29*Brief!$B$19+J29*Brief!$B$20+K29*Brief!$B$21+L29*Brief!$B$22)/0.25</f>
        <v>0.79</v>
      </c>
      <c r="N29" s="18" t="n">
        <f aca="false">AVERAGEIF($B$2:$B$132,B29,$G$2:$G$132)</f>
        <v>12.8863414634146</v>
      </c>
      <c r="O29" s="17" t="n">
        <f aca="false">(H29/100)*M29/(G29/N29)</f>
        <v>0.658087438059077</v>
      </c>
      <c r="P29" s="19" t="n">
        <f aca="false">COUNTIFS($B$2:$B$132,B29,$O$2:$O$132,"&gt;"&amp;O29)+1</f>
        <v>36</v>
      </c>
    </row>
    <row r="30" customFormat="false" ht="15" hidden="false" customHeight="false" outlineLevel="0" collapsed="false">
      <c r="A30" s="13" t="s">
        <v>82</v>
      </c>
      <c r="B30" s="13" t="s">
        <v>15</v>
      </c>
      <c r="C30" s="13" t="s">
        <v>83</v>
      </c>
      <c r="D30" s="13" t="s">
        <v>84</v>
      </c>
      <c r="E30" s="14" t="n">
        <v>15</v>
      </c>
      <c r="F30" s="14" t="n">
        <v>51000</v>
      </c>
      <c r="G30" s="15" t="n">
        <v>8.84</v>
      </c>
      <c r="H30" s="13" t="n">
        <v>109</v>
      </c>
      <c r="I30" s="16" t="n">
        <v>0.32</v>
      </c>
      <c r="J30" s="16" t="n">
        <v>0.19</v>
      </c>
      <c r="K30" s="16" t="n">
        <v>0.3</v>
      </c>
      <c r="L30" s="16" t="n">
        <v>0.19</v>
      </c>
      <c r="M30" s="17" t="n">
        <f aca="false">(I30*Brief!$B$19+J30*Brief!$B$20+K30*Brief!$B$21+L30*Brief!$B$22)/0.25</f>
        <v>0.97</v>
      </c>
      <c r="N30" s="18" t="n">
        <f aca="false">AVERAGEIF($B$2:$B$132,B30,$G$2:$G$132)</f>
        <v>12.8863414634146</v>
      </c>
      <c r="O30" s="17" t="n">
        <f aca="false">(H30/100)*M30/(G30/N30)</f>
        <v>1.54125891733804</v>
      </c>
      <c r="P30" s="19" t="n">
        <f aca="false">COUNTIFS($B$2:$B$132,B30,$O$2:$O$132,"&gt;"&amp;O30)+1</f>
        <v>6</v>
      </c>
    </row>
    <row r="31" customFormat="false" ht="15" hidden="false" customHeight="false" outlineLevel="0" collapsed="false">
      <c r="A31" s="13" t="s">
        <v>85</v>
      </c>
      <c r="B31" s="13" t="s">
        <v>15</v>
      </c>
      <c r="C31" s="13" t="s">
        <v>83</v>
      </c>
      <c r="D31" s="13" t="s">
        <v>84</v>
      </c>
      <c r="E31" s="14" t="n">
        <v>8</v>
      </c>
      <c r="F31" s="14" t="n">
        <v>108000</v>
      </c>
      <c r="G31" s="15" t="n">
        <v>8.74</v>
      </c>
      <c r="H31" s="13" t="n">
        <v>117</v>
      </c>
      <c r="I31" s="16" t="n">
        <v>0.34</v>
      </c>
      <c r="J31" s="16" t="n">
        <v>0.15</v>
      </c>
      <c r="K31" s="16" t="n">
        <v>0.32</v>
      </c>
      <c r="L31" s="16" t="n">
        <v>0.19</v>
      </c>
      <c r="M31" s="17" t="n">
        <f aca="false">(I31*Brief!$B$19+J31*Brief!$B$20+K31*Brief!$B$21+L31*Brief!$B$22)/0.25</f>
        <v>0.974</v>
      </c>
      <c r="N31" s="18" t="n">
        <f aca="false">AVERAGEIF($B$2:$B$132,B31,$G$2:$G$132)</f>
        <v>12.8863414634146</v>
      </c>
      <c r="O31" s="17" t="n">
        <f aca="false">(H31/100)*M31/(G31/N31)</f>
        <v>1.68020789529497</v>
      </c>
      <c r="P31" s="19" t="n">
        <f aca="false">COUNTIFS($B$2:$B$132,B31,$O$2:$O$132,"&gt;"&amp;O31)+1</f>
        <v>1</v>
      </c>
    </row>
    <row r="32" customFormat="false" ht="15" hidden="false" customHeight="false" outlineLevel="0" collapsed="false">
      <c r="A32" s="13" t="s">
        <v>86</v>
      </c>
      <c r="B32" s="13" t="s">
        <v>15</v>
      </c>
      <c r="C32" s="13" t="s">
        <v>83</v>
      </c>
      <c r="D32" s="13" t="s">
        <v>84</v>
      </c>
      <c r="E32" s="14" t="n">
        <v>32</v>
      </c>
      <c r="F32" s="14" t="n">
        <v>80000</v>
      </c>
      <c r="G32" s="15" t="n">
        <v>9.74</v>
      </c>
      <c r="H32" s="13" t="n">
        <v>112</v>
      </c>
      <c r="I32" s="16" t="n">
        <v>0.34</v>
      </c>
      <c r="J32" s="16" t="n">
        <v>0.16</v>
      </c>
      <c r="K32" s="16" t="n">
        <v>0.31</v>
      </c>
      <c r="L32" s="16" t="n">
        <v>0.19</v>
      </c>
      <c r="M32" s="17" t="n">
        <f aca="false">(I32*Brief!$B$19+J32*Brief!$B$20+K32*Brief!$B$21+L32*Brief!$B$22)/0.25</f>
        <v>0.97</v>
      </c>
      <c r="N32" s="18" t="n">
        <f aca="false">AVERAGEIF($B$2:$B$132,B32,$G$2:$G$132)</f>
        <v>12.8863414634146</v>
      </c>
      <c r="O32" s="17" t="n">
        <f aca="false">(H32/100)*M32/(G32/N32)</f>
        <v>1.43734305604247</v>
      </c>
      <c r="P32" s="19" t="n">
        <f aca="false">COUNTIFS($B$2:$B$132,B32,$O$2:$O$132,"&gt;"&amp;O32)+1</f>
        <v>11</v>
      </c>
    </row>
    <row r="33" customFormat="false" ht="15" hidden="false" customHeight="false" outlineLevel="0" collapsed="false">
      <c r="A33" s="13" t="s">
        <v>87</v>
      </c>
      <c r="B33" s="13" t="s">
        <v>15</v>
      </c>
      <c r="C33" s="13" t="s">
        <v>83</v>
      </c>
      <c r="D33" s="13" t="s">
        <v>84</v>
      </c>
      <c r="E33" s="14" t="n">
        <v>27</v>
      </c>
      <c r="F33" s="14" t="n">
        <v>106000</v>
      </c>
      <c r="G33" s="15" t="n">
        <v>10.24</v>
      </c>
      <c r="H33" s="13" t="n">
        <v>117</v>
      </c>
      <c r="I33" s="16" t="n">
        <v>0.34</v>
      </c>
      <c r="J33" s="16" t="n">
        <v>0.19</v>
      </c>
      <c r="K33" s="16" t="n">
        <v>0.28</v>
      </c>
      <c r="L33" s="16" t="n">
        <v>0.19</v>
      </c>
      <c r="M33" s="17" t="n">
        <f aca="false">(I33*Brief!$B$19+J33*Brief!$B$20+K33*Brief!$B$21+L33*Brief!$B$22)/0.25</f>
        <v>0.958</v>
      </c>
      <c r="N33" s="18" t="n">
        <f aca="false">AVERAGEIF($B$2:$B$132,B33,$G$2:$G$132)</f>
        <v>12.8863414634146</v>
      </c>
      <c r="O33" s="17" t="n">
        <f aca="false">(H33/100)*M33/(G33/N33)</f>
        <v>1.41052584889482</v>
      </c>
      <c r="P33" s="19" t="n">
        <f aca="false">COUNTIFS($B$2:$B$132,B33,$O$2:$O$132,"&gt;"&amp;O33)+1</f>
        <v>15</v>
      </c>
    </row>
    <row r="34" customFormat="false" ht="15" hidden="false" customHeight="false" outlineLevel="0" collapsed="false">
      <c r="A34" s="13" t="s">
        <v>88</v>
      </c>
      <c r="B34" s="13" t="s">
        <v>15</v>
      </c>
      <c r="C34" s="13" t="s">
        <v>83</v>
      </c>
      <c r="D34" s="13" t="s">
        <v>84</v>
      </c>
      <c r="E34" s="14" t="n">
        <v>7</v>
      </c>
      <c r="F34" s="14" t="n">
        <v>143000</v>
      </c>
      <c r="G34" s="15" t="n">
        <v>10.83</v>
      </c>
      <c r="H34" s="13" t="n">
        <v>111</v>
      </c>
      <c r="I34" s="16" t="n">
        <v>0.27</v>
      </c>
      <c r="J34" s="16" t="n">
        <v>0.18</v>
      </c>
      <c r="K34" s="16" t="n">
        <v>0.33</v>
      </c>
      <c r="L34" s="16" t="n">
        <v>0.22</v>
      </c>
      <c r="M34" s="17" t="n">
        <f aca="false">(I34*Brief!$B$19+J34*Brief!$B$20+K34*Brief!$B$21+L34*Brief!$B$22)/0.25</f>
        <v>1.01</v>
      </c>
      <c r="N34" s="18" t="n">
        <f aca="false">AVERAGEIF($B$2:$B$132,B34,$G$2:$G$132)</f>
        <v>12.8863414634146</v>
      </c>
      <c r="O34" s="17" t="n">
        <f aca="false">(H34/100)*M34/(G34/N34)</f>
        <v>1.33396836700223</v>
      </c>
      <c r="P34" s="19" t="n">
        <f aca="false">COUNTIFS($B$2:$B$132,B34,$O$2:$O$132,"&gt;"&amp;O34)+1</f>
        <v>17</v>
      </c>
    </row>
    <row r="35" customFormat="false" ht="15" hidden="false" customHeight="false" outlineLevel="0" collapsed="false">
      <c r="A35" s="13" t="s">
        <v>89</v>
      </c>
      <c r="B35" s="13" t="s">
        <v>15</v>
      </c>
      <c r="C35" s="13" t="s">
        <v>83</v>
      </c>
      <c r="D35" s="13" t="s">
        <v>84</v>
      </c>
      <c r="E35" s="14" t="n">
        <v>20</v>
      </c>
      <c r="F35" s="14" t="n">
        <v>130000</v>
      </c>
      <c r="G35" s="15" t="n">
        <v>8.85</v>
      </c>
      <c r="H35" s="13" t="n">
        <v>110</v>
      </c>
      <c r="I35" s="16" t="n">
        <v>0.28</v>
      </c>
      <c r="J35" s="16" t="n">
        <v>0.21</v>
      </c>
      <c r="K35" s="16" t="n">
        <v>0.33</v>
      </c>
      <c r="L35" s="16" t="n">
        <v>0.18</v>
      </c>
      <c r="M35" s="17" t="n">
        <f aca="false">(I35*Brief!$B$19+J35*Brief!$B$20+K35*Brief!$B$21+L35*Brief!$B$22)/0.25</f>
        <v>0.984</v>
      </c>
      <c r="N35" s="18" t="n">
        <f aca="false">AVERAGEIF($B$2:$B$132,B35,$G$2:$G$132)</f>
        <v>12.8863414634146</v>
      </c>
      <c r="O35" s="17" t="n">
        <f aca="false">(H35/100)*M35/(G35/N35)</f>
        <v>1.57606508474576</v>
      </c>
      <c r="P35" s="19" t="n">
        <f aca="false">COUNTIFS($B$2:$B$132,B35,$O$2:$O$132,"&gt;"&amp;O35)+1</f>
        <v>4</v>
      </c>
    </row>
    <row r="36" customFormat="false" ht="15" hidden="false" customHeight="false" outlineLevel="0" collapsed="false">
      <c r="A36" s="13" t="s">
        <v>90</v>
      </c>
      <c r="B36" s="13" t="s">
        <v>15</v>
      </c>
      <c r="C36" s="13" t="s">
        <v>83</v>
      </c>
      <c r="D36" s="13" t="s">
        <v>84</v>
      </c>
      <c r="E36" s="14" t="n">
        <v>23</v>
      </c>
      <c r="F36" s="14" t="n">
        <v>137000</v>
      </c>
      <c r="G36" s="15" t="n">
        <v>9.62</v>
      </c>
      <c r="H36" s="13" t="n">
        <v>112</v>
      </c>
      <c r="I36" s="16" t="n">
        <v>0.29</v>
      </c>
      <c r="J36" s="16" t="n">
        <v>0.2</v>
      </c>
      <c r="K36" s="16" t="n">
        <v>0.3</v>
      </c>
      <c r="L36" s="16" t="n">
        <v>0.21</v>
      </c>
      <c r="M36" s="17" t="n">
        <f aca="false">(I36*Brief!$B$19+J36*Brief!$B$20+K36*Brief!$B$21+L36*Brief!$B$22)/0.25</f>
        <v>0.988</v>
      </c>
      <c r="N36" s="18" t="n">
        <f aca="false">AVERAGEIF($B$2:$B$132,B36,$G$2:$G$132)</f>
        <v>12.8863414634146</v>
      </c>
      <c r="O36" s="17" t="n">
        <f aca="false">(H36/100)*M36/(G36/N36)</f>
        <v>1.48227754779169</v>
      </c>
      <c r="P36" s="19" t="n">
        <f aca="false">COUNTIFS($B$2:$B$132,B36,$O$2:$O$132,"&gt;"&amp;O36)+1</f>
        <v>8</v>
      </c>
    </row>
    <row r="37" customFormat="false" ht="15" hidden="false" customHeight="false" outlineLevel="0" collapsed="false">
      <c r="A37" s="13" t="s">
        <v>91</v>
      </c>
      <c r="B37" s="13" t="s">
        <v>15</v>
      </c>
      <c r="C37" s="13" t="s">
        <v>92</v>
      </c>
      <c r="D37" s="13" t="s">
        <v>93</v>
      </c>
      <c r="E37" s="14" t="n">
        <v>35</v>
      </c>
      <c r="F37" s="14" t="n">
        <v>151000</v>
      </c>
      <c r="G37" s="15" t="n">
        <v>11.02</v>
      </c>
      <c r="H37" s="13" t="n">
        <v>116</v>
      </c>
      <c r="I37" s="16" t="n">
        <v>0.06</v>
      </c>
      <c r="J37" s="16" t="n">
        <v>0.25</v>
      </c>
      <c r="K37" s="16" t="n">
        <v>0.28</v>
      </c>
      <c r="L37" s="16" t="n">
        <v>0.41</v>
      </c>
      <c r="M37" s="17" t="n">
        <f aca="false">(I37*Brief!$B$19+J37*Brief!$B$20+K37*Brief!$B$21+L37*Brief!$B$22)/0.25</f>
        <v>1.146</v>
      </c>
      <c r="N37" s="18" t="n">
        <f aca="false">AVERAGEIF($B$2:$B$132,B37,$G$2:$G$132)</f>
        <v>12.8863414634146</v>
      </c>
      <c r="O37" s="17" t="n">
        <f aca="false">(H37/100)*M37/(G37/N37)</f>
        <v>1.55449971758665</v>
      </c>
      <c r="P37" s="19" t="n">
        <f aca="false">COUNTIFS($B$2:$B$132,B37,$O$2:$O$132,"&gt;"&amp;O37)+1</f>
        <v>5</v>
      </c>
    </row>
    <row r="38" customFormat="false" ht="15" hidden="false" customHeight="false" outlineLevel="0" collapsed="false">
      <c r="A38" s="13" t="s">
        <v>94</v>
      </c>
      <c r="B38" s="13" t="s">
        <v>15</v>
      </c>
      <c r="C38" s="13" t="s">
        <v>92</v>
      </c>
      <c r="D38" s="13" t="s">
        <v>93</v>
      </c>
      <c r="E38" s="14" t="n">
        <v>25</v>
      </c>
      <c r="F38" s="14" t="n">
        <v>114000</v>
      </c>
      <c r="G38" s="15" t="n">
        <v>11.06</v>
      </c>
      <c r="H38" s="13" t="n">
        <v>118</v>
      </c>
      <c r="I38" s="16" t="n">
        <v>0.15</v>
      </c>
      <c r="J38" s="16" t="n">
        <v>0.26</v>
      </c>
      <c r="K38" s="16" t="n">
        <v>0.23</v>
      </c>
      <c r="L38" s="16" t="n">
        <v>0.36</v>
      </c>
      <c r="M38" s="17" t="n">
        <f aca="false">(I38*Brief!$B$19+J38*Brief!$B$20+K38*Brief!$B$21+L38*Brief!$B$22)/0.25</f>
        <v>1.078</v>
      </c>
      <c r="N38" s="18" t="n">
        <f aca="false">AVERAGEIF($B$2:$B$132,B38,$G$2:$G$132)</f>
        <v>12.8863414634146</v>
      </c>
      <c r="O38" s="17" t="n">
        <f aca="false">(H38/100)*M38/(G38/N38)</f>
        <v>1.48209238653906</v>
      </c>
      <c r="P38" s="19" t="n">
        <f aca="false">COUNTIFS($B$2:$B$132,B38,$O$2:$O$132,"&gt;"&amp;O38)+1</f>
        <v>9</v>
      </c>
    </row>
    <row r="39" customFormat="false" ht="15" hidden="false" customHeight="false" outlineLevel="0" collapsed="false">
      <c r="A39" s="13" t="s">
        <v>95</v>
      </c>
      <c r="B39" s="13" t="s">
        <v>15</v>
      </c>
      <c r="C39" s="13" t="s">
        <v>92</v>
      </c>
      <c r="D39" s="13" t="s">
        <v>93</v>
      </c>
      <c r="E39" s="14" t="n">
        <v>33</v>
      </c>
      <c r="F39" s="14" t="n">
        <v>151000</v>
      </c>
      <c r="G39" s="15" t="n">
        <v>13.48</v>
      </c>
      <c r="H39" s="13" t="n">
        <v>116</v>
      </c>
      <c r="I39" s="16" t="n">
        <v>0.06</v>
      </c>
      <c r="J39" s="16" t="n">
        <v>0.31</v>
      </c>
      <c r="K39" s="16" t="n">
        <v>0.25</v>
      </c>
      <c r="L39" s="16" t="n">
        <v>0.38</v>
      </c>
      <c r="M39" s="17" t="n">
        <f aca="false">(I39*Brief!$B$19+J39*Brief!$B$20+K39*Brief!$B$21+L39*Brief!$B$22)/0.25</f>
        <v>1.116</v>
      </c>
      <c r="N39" s="18" t="n">
        <f aca="false">AVERAGEIF($B$2:$B$132,B39,$G$2:$G$132)</f>
        <v>12.8863414634146</v>
      </c>
      <c r="O39" s="17" t="n">
        <f aca="false">(H39/100)*M39/(G39/N39)</f>
        <v>1.23754764131143</v>
      </c>
      <c r="P39" s="19" t="n">
        <f aca="false">COUNTIFS($B$2:$B$132,B39,$O$2:$O$132,"&gt;"&amp;O39)+1</f>
        <v>21</v>
      </c>
    </row>
    <row r="40" customFormat="false" ht="15" hidden="false" customHeight="false" outlineLevel="0" collapsed="false">
      <c r="A40" s="13" t="s">
        <v>96</v>
      </c>
      <c r="B40" s="13" t="s">
        <v>15</v>
      </c>
      <c r="C40" s="13" t="s">
        <v>92</v>
      </c>
      <c r="D40" s="13" t="s">
        <v>93</v>
      </c>
      <c r="E40" s="14" t="n">
        <v>32</v>
      </c>
      <c r="F40" s="14" t="n">
        <v>85000</v>
      </c>
      <c r="G40" s="15" t="n">
        <v>11.18</v>
      </c>
      <c r="H40" s="13" t="n">
        <v>132</v>
      </c>
      <c r="I40" s="16" t="n">
        <v>0.1</v>
      </c>
      <c r="J40" s="16" t="n">
        <v>0.31</v>
      </c>
      <c r="K40" s="16" t="n">
        <v>0.25</v>
      </c>
      <c r="L40" s="16" t="n">
        <v>0.34</v>
      </c>
      <c r="M40" s="17" t="n">
        <f aca="false">(I40*Brief!$B$19+J40*Brief!$B$20+K40*Brief!$B$21+L40*Brief!$B$22)/0.25</f>
        <v>1.084</v>
      </c>
      <c r="N40" s="18" t="n">
        <f aca="false">AVERAGEIF($B$2:$B$132,B40,$G$2:$G$132)</f>
        <v>12.8863414634146</v>
      </c>
      <c r="O40" s="17" t="n">
        <f aca="false">(H40/100)*M40/(G40/N40)</f>
        <v>1.64926728740346</v>
      </c>
      <c r="P40" s="19" t="n">
        <f aca="false">COUNTIFS($B$2:$B$132,B40,$O$2:$O$132,"&gt;"&amp;O40)+1</f>
        <v>2</v>
      </c>
    </row>
    <row r="41" customFormat="false" ht="15" hidden="false" customHeight="false" outlineLevel="0" collapsed="false">
      <c r="A41" s="13" t="s">
        <v>97</v>
      </c>
      <c r="B41" s="13" t="s">
        <v>15</v>
      </c>
      <c r="C41" s="13" t="s">
        <v>92</v>
      </c>
      <c r="D41" s="13" t="s">
        <v>93</v>
      </c>
      <c r="E41" s="14" t="n">
        <v>14</v>
      </c>
      <c r="F41" s="14" t="n">
        <v>125000</v>
      </c>
      <c r="G41" s="15" t="n">
        <v>12.76</v>
      </c>
      <c r="H41" s="13" t="n">
        <v>115</v>
      </c>
      <c r="I41" s="16" t="n">
        <v>0.15</v>
      </c>
      <c r="J41" s="16" t="n">
        <v>0.3</v>
      </c>
      <c r="K41" s="16" t="n">
        <v>0.25</v>
      </c>
      <c r="L41" s="16" t="n">
        <v>0.3</v>
      </c>
      <c r="M41" s="17" t="n">
        <f aca="false">(I41*Brief!$B$19+J41*Brief!$B$20+K41*Brief!$B$21+L41*Brief!$B$22)/0.25</f>
        <v>1.05</v>
      </c>
      <c r="N41" s="18" t="n">
        <f aca="false">AVERAGEIF($B$2:$B$132,B41,$G$2:$G$132)</f>
        <v>12.8863414634146</v>
      </c>
      <c r="O41" s="17" t="n">
        <f aca="false">(H41/100)*M41/(G41/N41)</f>
        <v>1.21945590259194</v>
      </c>
      <c r="P41" s="19" t="n">
        <f aca="false">COUNTIFS($B$2:$B$132,B41,$O$2:$O$132,"&gt;"&amp;O41)+1</f>
        <v>22</v>
      </c>
    </row>
    <row r="42" customFormat="false" ht="15" hidden="false" customHeight="false" outlineLevel="0" collapsed="false">
      <c r="A42" s="13" t="s">
        <v>98</v>
      </c>
      <c r="B42" s="13" t="s">
        <v>15</v>
      </c>
      <c r="C42" s="13" t="s">
        <v>92</v>
      </c>
      <c r="D42" s="13" t="s">
        <v>93</v>
      </c>
      <c r="E42" s="14" t="n">
        <v>28</v>
      </c>
      <c r="F42" s="14" t="n">
        <v>181000</v>
      </c>
      <c r="G42" s="15" t="n">
        <v>14.5</v>
      </c>
      <c r="H42" s="13" t="n">
        <v>116</v>
      </c>
      <c r="I42" s="16" t="n">
        <v>0.07</v>
      </c>
      <c r="J42" s="16" t="n">
        <v>0.33</v>
      </c>
      <c r="K42" s="16" t="n">
        <v>0.25</v>
      </c>
      <c r="L42" s="16" t="n">
        <v>0.36</v>
      </c>
      <c r="M42" s="17" t="n">
        <f aca="false">(I42*Brief!$B$19+J42*Brief!$B$20+K42*Brief!$B$21+L42*Brief!$B$22)/0.25</f>
        <v>1.11</v>
      </c>
      <c r="N42" s="18" t="n">
        <f aca="false">AVERAGEIF($B$2:$B$132,B42,$G$2:$G$132)</f>
        <v>12.8863414634146</v>
      </c>
      <c r="O42" s="17" t="n">
        <f aca="false">(H42/100)*M42/(G42/N42)</f>
        <v>1.14430712195122</v>
      </c>
      <c r="P42" s="19" t="n">
        <f aca="false">COUNTIFS($B$2:$B$132,B42,$O$2:$O$132,"&gt;"&amp;O42)+1</f>
        <v>26</v>
      </c>
    </row>
    <row r="43" customFormat="false" ht="15" hidden="false" customHeight="false" outlineLevel="0" collapsed="false">
      <c r="A43" s="13" t="s">
        <v>99</v>
      </c>
      <c r="B43" s="13" t="s">
        <v>16</v>
      </c>
      <c r="C43" s="13" t="s">
        <v>47</v>
      </c>
      <c r="D43" s="13" t="s">
        <v>48</v>
      </c>
      <c r="E43" s="14" t="n">
        <v>39</v>
      </c>
      <c r="F43" s="14" t="n">
        <v>184000</v>
      </c>
      <c r="G43" s="15" t="n">
        <v>10.65</v>
      </c>
      <c r="H43" s="13" t="n">
        <v>99</v>
      </c>
      <c r="I43" s="16" t="n">
        <v>0.34</v>
      </c>
      <c r="J43" s="16" t="n">
        <v>0.16</v>
      </c>
      <c r="K43" s="16" t="n">
        <v>0.36</v>
      </c>
      <c r="L43" s="16" t="n">
        <v>0.14</v>
      </c>
      <c r="M43" s="17" t="n">
        <f aca="false">(I43*Brief!$B$19+J43*Brief!$B$20+K43*Brief!$B$21+L43*Brief!$B$22)/0.25</f>
        <v>0.96</v>
      </c>
      <c r="N43" s="18" t="n">
        <f aca="false">AVERAGEIF($B$2:$B$132,B43,$G$2:$G$132)</f>
        <v>11.9783333333333</v>
      </c>
      <c r="O43" s="17" t="n">
        <f aca="false">(H43/100)*M43/(G43/N43)</f>
        <v>1.06893971830986</v>
      </c>
      <c r="P43" s="19" t="n">
        <f aca="false">COUNTIFS($B$2:$B$132,B43,$O$2:$O$132,"&gt;"&amp;O43)+1</f>
        <v>37</v>
      </c>
    </row>
    <row r="44" customFormat="false" ht="15" hidden="false" customHeight="false" outlineLevel="0" collapsed="false">
      <c r="A44" s="13" t="s">
        <v>100</v>
      </c>
      <c r="B44" s="13" t="s">
        <v>16</v>
      </c>
      <c r="C44" s="13" t="s">
        <v>47</v>
      </c>
      <c r="D44" s="13" t="s">
        <v>48</v>
      </c>
      <c r="E44" s="14" t="n">
        <v>22</v>
      </c>
      <c r="F44" s="14" t="n">
        <v>217000</v>
      </c>
      <c r="G44" s="15" t="n">
        <v>8.99</v>
      </c>
      <c r="H44" s="13" t="n">
        <v>101</v>
      </c>
      <c r="I44" s="16" t="n">
        <v>0.41</v>
      </c>
      <c r="J44" s="16" t="n">
        <v>0.08</v>
      </c>
      <c r="K44" s="16" t="n">
        <v>0.36</v>
      </c>
      <c r="L44" s="16" t="n">
        <v>0.16</v>
      </c>
      <c r="M44" s="17" t="n">
        <f aca="false">(I44*Brief!$B$19+J44*Brief!$B$20+K44*Brief!$B$21+L44*Brief!$B$22)/0.25</f>
        <v>0.966</v>
      </c>
      <c r="N44" s="18" t="n">
        <f aca="false">AVERAGEIF($B$2:$B$132,B44,$G$2:$G$132)</f>
        <v>11.9783333333333</v>
      </c>
      <c r="O44" s="17" t="n">
        <f aca="false">(H44/100)*M44/(G44/N44)</f>
        <v>1.29997560622914</v>
      </c>
      <c r="P44" s="19" t="n">
        <f aca="false">COUNTIFS($B$2:$B$132,B44,$O$2:$O$132,"&gt;"&amp;O44)+1</f>
        <v>25</v>
      </c>
    </row>
    <row r="45" customFormat="false" ht="15" hidden="false" customHeight="false" outlineLevel="0" collapsed="false">
      <c r="A45" s="13" t="s">
        <v>101</v>
      </c>
      <c r="B45" s="13" t="s">
        <v>16</v>
      </c>
      <c r="C45" s="13" t="s">
        <v>47</v>
      </c>
      <c r="D45" s="13" t="s">
        <v>48</v>
      </c>
      <c r="E45" s="14" t="n">
        <v>21</v>
      </c>
      <c r="F45" s="14" t="n">
        <v>232000</v>
      </c>
      <c r="G45" s="15" t="n">
        <v>9.99</v>
      </c>
      <c r="H45" s="13" t="n">
        <v>97</v>
      </c>
      <c r="I45" s="16" t="n">
        <v>0.35</v>
      </c>
      <c r="J45" s="16" t="n">
        <v>0.19</v>
      </c>
      <c r="K45" s="16" t="n">
        <v>0.29</v>
      </c>
      <c r="L45" s="16" t="n">
        <v>0.17</v>
      </c>
      <c r="M45" s="17" t="n">
        <f aca="false">(I45*Brief!$B$19+J45*Brief!$B$20+K45*Brief!$B$21+L45*Brief!$B$22)/0.25</f>
        <v>0.948</v>
      </c>
      <c r="N45" s="18" t="n">
        <f aca="false">AVERAGEIF($B$2:$B$132,B45,$G$2:$G$132)</f>
        <v>11.9783333333333</v>
      </c>
      <c r="O45" s="17" t="n">
        <f aca="false">(H45/100)*M45/(G45/N45)</f>
        <v>1.1025822022022</v>
      </c>
      <c r="P45" s="19" t="n">
        <f aca="false">COUNTIFS($B$2:$B$132,B45,$O$2:$O$132,"&gt;"&amp;O45)+1</f>
        <v>34</v>
      </c>
    </row>
    <row r="46" customFormat="false" ht="15" hidden="false" customHeight="false" outlineLevel="0" collapsed="false">
      <c r="A46" s="13" t="s">
        <v>102</v>
      </c>
      <c r="B46" s="13" t="s">
        <v>16</v>
      </c>
      <c r="C46" s="13" t="s">
        <v>47</v>
      </c>
      <c r="D46" s="13" t="s">
        <v>48</v>
      </c>
      <c r="E46" s="14" t="n">
        <v>28</v>
      </c>
      <c r="F46" s="14" t="n">
        <v>232000</v>
      </c>
      <c r="G46" s="15" t="n">
        <v>10.65</v>
      </c>
      <c r="H46" s="13" t="n">
        <v>109</v>
      </c>
      <c r="I46" s="16" t="n">
        <v>0.31</v>
      </c>
      <c r="J46" s="16" t="n">
        <v>0.17</v>
      </c>
      <c r="K46" s="16" t="n">
        <v>0.33</v>
      </c>
      <c r="L46" s="16" t="n">
        <v>0.18</v>
      </c>
      <c r="M46" s="17" t="n">
        <f aca="false">(I46*Brief!$B$19+J46*Brief!$B$20+K46*Brief!$B$21+L46*Brief!$B$22)/0.25</f>
        <v>0.97</v>
      </c>
      <c r="N46" s="18" t="n">
        <f aca="false">AVERAGEIF($B$2:$B$132,B46,$G$2:$G$132)</f>
        <v>11.9783333333333</v>
      </c>
      <c r="O46" s="17" t="n">
        <f aca="false">(H46/100)*M46/(G46/N46)</f>
        <v>1.18917294209703</v>
      </c>
      <c r="P46" s="19" t="n">
        <f aca="false">COUNTIFS($B$2:$B$132,B46,$O$2:$O$132,"&gt;"&amp;O46)+1</f>
        <v>32</v>
      </c>
    </row>
    <row r="47" customFormat="false" ht="15" hidden="false" customHeight="false" outlineLevel="0" collapsed="false">
      <c r="A47" s="13" t="s">
        <v>103</v>
      </c>
      <c r="B47" s="13" t="s">
        <v>16</v>
      </c>
      <c r="C47" s="13" t="s">
        <v>47</v>
      </c>
      <c r="D47" s="13" t="s">
        <v>48</v>
      </c>
      <c r="E47" s="14" t="n">
        <v>34</v>
      </c>
      <c r="F47" s="14" t="n">
        <v>222000</v>
      </c>
      <c r="G47" s="15" t="n">
        <v>11.49</v>
      </c>
      <c r="H47" s="13" t="n">
        <v>95</v>
      </c>
      <c r="I47" s="16" t="n">
        <v>0.35</v>
      </c>
      <c r="J47" s="16" t="n">
        <v>0.17</v>
      </c>
      <c r="K47" s="16" t="n">
        <v>0.33</v>
      </c>
      <c r="L47" s="16" t="n">
        <v>0.15</v>
      </c>
      <c r="M47" s="17" t="n">
        <f aca="false">(I47*Brief!$B$19+J47*Brief!$B$20+K47*Brief!$B$21+L47*Brief!$B$22)/0.25</f>
        <v>0.952</v>
      </c>
      <c r="N47" s="18" t="n">
        <f aca="false">AVERAGEIF($B$2:$B$132,B47,$G$2:$G$132)</f>
        <v>11.9783333333333</v>
      </c>
      <c r="O47" s="17" t="n">
        <f aca="false">(H47/100)*M47/(G47/N47)</f>
        <v>0.942837655932695</v>
      </c>
      <c r="P47" s="19" t="n">
        <f aca="false">COUNTIFS($B$2:$B$132,B47,$O$2:$O$132,"&gt;"&amp;O47)+1</f>
        <v>39</v>
      </c>
    </row>
    <row r="48" customFormat="false" ht="15" hidden="false" customHeight="false" outlineLevel="0" collapsed="false">
      <c r="A48" s="13" t="s">
        <v>104</v>
      </c>
      <c r="B48" s="13" t="s">
        <v>16</v>
      </c>
      <c r="C48" s="13" t="s">
        <v>47</v>
      </c>
      <c r="D48" s="13" t="s">
        <v>48</v>
      </c>
      <c r="E48" s="14" t="n">
        <v>11</v>
      </c>
      <c r="F48" s="14" t="n">
        <v>331000</v>
      </c>
      <c r="G48" s="15" t="n">
        <v>8.75</v>
      </c>
      <c r="H48" s="13" t="n">
        <v>102</v>
      </c>
      <c r="I48" s="16" t="n">
        <v>0.35</v>
      </c>
      <c r="J48" s="16" t="n">
        <v>0.13</v>
      </c>
      <c r="K48" s="16" t="n">
        <v>0.36</v>
      </c>
      <c r="L48" s="16" t="n">
        <v>0.16</v>
      </c>
      <c r="M48" s="17" t="n">
        <f aca="false">(I48*Brief!$B$19+J48*Brief!$B$20+K48*Brief!$B$21+L48*Brief!$B$22)/0.25</f>
        <v>0.97</v>
      </c>
      <c r="N48" s="18" t="n">
        <f aca="false">AVERAGEIF($B$2:$B$132,B48,$G$2:$G$132)</f>
        <v>11.9783333333333</v>
      </c>
      <c r="O48" s="17" t="n">
        <f aca="false">(H48/100)*M48/(G48/N48)</f>
        <v>1.35444148571429</v>
      </c>
      <c r="P48" s="19" t="n">
        <f aca="false">COUNTIFS($B$2:$B$132,B48,$O$2:$O$132,"&gt;"&amp;O48)+1</f>
        <v>18</v>
      </c>
    </row>
    <row r="49" customFormat="false" ht="15" hidden="false" customHeight="false" outlineLevel="0" collapsed="false">
      <c r="A49" s="13" t="s">
        <v>105</v>
      </c>
      <c r="B49" s="13" t="s">
        <v>16</v>
      </c>
      <c r="C49" s="13" t="s">
        <v>55</v>
      </c>
      <c r="D49" s="13" t="s">
        <v>56</v>
      </c>
      <c r="E49" s="14" t="n">
        <v>20</v>
      </c>
      <c r="F49" s="14" t="n">
        <v>52000</v>
      </c>
      <c r="G49" s="15" t="n">
        <v>13.42</v>
      </c>
      <c r="H49" s="13" t="n">
        <v>120</v>
      </c>
      <c r="I49" s="16" t="n">
        <v>0.3</v>
      </c>
      <c r="J49" s="16" t="n">
        <v>0.17</v>
      </c>
      <c r="K49" s="16" t="n">
        <v>0.34</v>
      </c>
      <c r="L49" s="16" t="n">
        <v>0.2</v>
      </c>
      <c r="M49" s="17" t="n">
        <f aca="false">(I49*Brief!$B$19+J49*Brief!$B$20+K49*Brief!$B$21+L49*Brief!$B$22)/0.25</f>
        <v>1.004</v>
      </c>
      <c r="N49" s="18" t="n">
        <f aca="false">AVERAGEIF($B$2:$B$132,B49,$G$2:$G$132)</f>
        <v>11.9783333333333</v>
      </c>
      <c r="O49" s="17" t="n">
        <f aca="false">(H49/100)*M49/(G49/N49)</f>
        <v>1.07537228017884</v>
      </c>
      <c r="P49" s="19" t="n">
        <f aca="false">COUNTIFS($B$2:$B$132,B49,$O$2:$O$132,"&gt;"&amp;O49)+1</f>
        <v>35</v>
      </c>
    </row>
    <row r="50" customFormat="false" ht="15" hidden="false" customHeight="false" outlineLevel="0" collapsed="false">
      <c r="A50" s="13" t="s">
        <v>106</v>
      </c>
      <c r="B50" s="13" t="s">
        <v>16</v>
      </c>
      <c r="C50" s="13" t="s">
        <v>55</v>
      </c>
      <c r="D50" s="13" t="s">
        <v>56</v>
      </c>
      <c r="E50" s="14" t="n">
        <v>8</v>
      </c>
      <c r="F50" s="14" t="n">
        <v>43000</v>
      </c>
      <c r="G50" s="15" t="n">
        <v>11.41</v>
      </c>
      <c r="H50" s="13" t="n">
        <v>116</v>
      </c>
      <c r="I50" s="16" t="n">
        <v>0.32</v>
      </c>
      <c r="J50" s="16" t="n">
        <v>0.17</v>
      </c>
      <c r="K50" s="16" t="n">
        <v>0.35</v>
      </c>
      <c r="L50" s="16" t="n">
        <v>0.17</v>
      </c>
      <c r="M50" s="17" t="n">
        <f aca="false">(I50*Brief!$B$19+J50*Brief!$B$20+K50*Brief!$B$21+L50*Brief!$B$22)/0.25</f>
        <v>0.986</v>
      </c>
      <c r="N50" s="18" t="n">
        <f aca="false">AVERAGEIF($B$2:$B$132,B50,$G$2:$G$132)</f>
        <v>11.9783333333333</v>
      </c>
      <c r="O50" s="17" t="n">
        <f aca="false">(H50/100)*M50/(G50/N50)</f>
        <v>1.20073080923167</v>
      </c>
      <c r="P50" s="19" t="n">
        <f aca="false">COUNTIFS($B$2:$B$132,B50,$O$2:$O$132,"&gt;"&amp;O50)+1</f>
        <v>31</v>
      </c>
    </row>
    <row r="51" customFormat="false" ht="15" hidden="false" customHeight="false" outlineLevel="0" collapsed="false">
      <c r="A51" s="13" t="s">
        <v>107</v>
      </c>
      <c r="B51" s="13" t="s">
        <v>16</v>
      </c>
      <c r="C51" s="13" t="s">
        <v>55</v>
      </c>
      <c r="D51" s="13" t="s">
        <v>56</v>
      </c>
      <c r="E51" s="14" t="n">
        <v>12</v>
      </c>
      <c r="F51" s="14" t="n">
        <v>57000</v>
      </c>
      <c r="G51" s="15" t="n">
        <v>9.95</v>
      </c>
      <c r="H51" s="13" t="n">
        <v>116</v>
      </c>
      <c r="I51" s="16" t="n">
        <v>0.29</v>
      </c>
      <c r="J51" s="16" t="n">
        <v>0.19</v>
      </c>
      <c r="K51" s="16" t="n">
        <v>0.34</v>
      </c>
      <c r="L51" s="16" t="n">
        <v>0.19</v>
      </c>
      <c r="M51" s="17" t="n">
        <f aca="false">(I51*Brief!$B$19+J51*Brief!$B$20+K51*Brief!$B$21+L51*Brief!$B$22)/0.25</f>
        <v>1</v>
      </c>
      <c r="N51" s="18" t="n">
        <f aca="false">AVERAGEIF($B$2:$B$132,B51,$G$2:$G$132)</f>
        <v>11.9783333333333</v>
      </c>
      <c r="O51" s="17" t="n">
        <f aca="false">(H51/100)*M51/(G51/N51)</f>
        <v>1.39646901172529</v>
      </c>
      <c r="P51" s="19" t="n">
        <f aca="false">COUNTIFS($B$2:$B$132,B51,$O$2:$O$132,"&gt;"&amp;O51)+1</f>
        <v>15</v>
      </c>
    </row>
    <row r="52" customFormat="false" ht="15" hidden="false" customHeight="false" outlineLevel="0" collapsed="false">
      <c r="A52" s="13" t="s">
        <v>108</v>
      </c>
      <c r="B52" s="13" t="s">
        <v>16</v>
      </c>
      <c r="C52" s="13" t="s">
        <v>55</v>
      </c>
      <c r="D52" s="13" t="s">
        <v>56</v>
      </c>
      <c r="E52" s="14" t="n">
        <v>37</v>
      </c>
      <c r="F52" s="14" t="n">
        <v>47000</v>
      </c>
      <c r="G52" s="15" t="n">
        <v>10.85</v>
      </c>
      <c r="H52" s="13" t="n">
        <v>120</v>
      </c>
      <c r="I52" s="16" t="n">
        <v>0.24</v>
      </c>
      <c r="J52" s="16" t="n">
        <v>0.24</v>
      </c>
      <c r="K52" s="16" t="n">
        <v>0.35</v>
      </c>
      <c r="L52" s="16" t="n">
        <v>0.17</v>
      </c>
      <c r="M52" s="17" t="n">
        <f aca="false">(I52*Brief!$B$19+J52*Brief!$B$20+K52*Brief!$B$21+L52*Brief!$B$22)/0.25</f>
        <v>0.994</v>
      </c>
      <c r="N52" s="18" t="n">
        <f aca="false">AVERAGEIF($B$2:$B$132,B52,$G$2:$G$132)</f>
        <v>11.9783333333333</v>
      </c>
      <c r="O52" s="17" t="n">
        <f aca="false">(H52/100)*M52/(G52/N52)</f>
        <v>1.31684387096774</v>
      </c>
      <c r="P52" s="19" t="n">
        <f aca="false">COUNTIFS($B$2:$B$132,B52,$O$2:$O$132,"&gt;"&amp;O52)+1</f>
        <v>23</v>
      </c>
    </row>
    <row r="53" customFormat="false" ht="15" hidden="false" customHeight="false" outlineLevel="0" collapsed="false">
      <c r="A53" s="13" t="s">
        <v>109</v>
      </c>
      <c r="B53" s="13" t="s">
        <v>16</v>
      </c>
      <c r="C53" s="13" t="s">
        <v>55</v>
      </c>
      <c r="D53" s="13" t="s">
        <v>56</v>
      </c>
      <c r="E53" s="14" t="n">
        <v>23</v>
      </c>
      <c r="F53" s="14" t="n">
        <v>26000</v>
      </c>
      <c r="G53" s="15" t="n">
        <v>10.07</v>
      </c>
      <c r="H53" s="13" t="n">
        <v>111</v>
      </c>
      <c r="I53" s="16" t="n">
        <v>0.31</v>
      </c>
      <c r="J53" s="16" t="n">
        <v>0.21</v>
      </c>
      <c r="K53" s="16" t="n">
        <v>0.36</v>
      </c>
      <c r="L53" s="16" t="n">
        <v>0.12</v>
      </c>
      <c r="M53" s="17" t="n">
        <f aca="false">(I53*Brief!$B$19+J53*Brief!$B$20+K53*Brief!$B$21+L53*Brief!$B$22)/0.25</f>
        <v>0.954</v>
      </c>
      <c r="N53" s="18" t="n">
        <f aca="false">AVERAGEIF($B$2:$B$132,B53,$G$2:$G$132)</f>
        <v>11.9783333333333</v>
      </c>
      <c r="O53" s="17" t="n">
        <f aca="false">(H53/100)*M53/(G53/N53)</f>
        <v>1.25961631578947</v>
      </c>
      <c r="P53" s="19" t="n">
        <f aca="false">COUNTIFS($B$2:$B$132,B53,$O$2:$O$132,"&gt;"&amp;O53)+1</f>
        <v>28</v>
      </c>
    </row>
    <row r="54" customFormat="false" ht="15" hidden="false" customHeight="false" outlineLevel="0" collapsed="false">
      <c r="A54" s="13" t="s">
        <v>110</v>
      </c>
      <c r="B54" s="13" t="s">
        <v>16</v>
      </c>
      <c r="C54" s="13" t="s">
        <v>55</v>
      </c>
      <c r="D54" s="13" t="s">
        <v>56</v>
      </c>
      <c r="E54" s="14" t="n">
        <v>10</v>
      </c>
      <c r="F54" s="14" t="n">
        <v>57000</v>
      </c>
      <c r="G54" s="15" t="n">
        <v>12.73</v>
      </c>
      <c r="H54" s="13" t="n">
        <v>116</v>
      </c>
      <c r="I54" s="16" t="n">
        <v>0.32</v>
      </c>
      <c r="J54" s="16" t="n">
        <v>0.16</v>
      </c>
      <c r="K54" s="16" t="n">
        <v>0.33</v>
      </c>
      <c r="L54" s="16" t="n">
        <v>0.19</v>
      </c>
      <c r="M54" s="17" t="n">
        <f aca="false">(I54*Brief!$B$19+J54*Brief!$B$20+K54*Brief!$B$21+L54*Brief!$B$22)/0.25</f>
        <v>0.982</v>
      </c>
      <c r="N54" s="18" t="n">
        <f aca="false">AVERAGEIF($B$2:$B$132,B54,$G$2:$G$132)</f>
        <v>11.9783333333333</v>
      </c>
      <c r="O54" s="17" t="n">
        <f aca="false">(H54/100)*M54/(G54/N54)</f>
        <v>1.07185852841058</v>
      </c>
      <c r="P54" s="19" t="n">
        <f aca="false">COUNTIFS($B$2:$B$132,B54,$O$2:$O$132,"&gt;"&amp;O54)+1</f>
        <v>36</v>
      </c>
    </row>
    <row r="55" customFormat="false" ht="15" hidden="false" customHeight="false" outlineLevel="0" collapsed="false">
      <c r="A55" s="13" t="s">
        <v>111</v>
      </c>
      <c r="B55" s="13" t="s">
        <v>16</v>
      </c>
      <c r="C55" s="13" t="s">
        <v>55</v>
      </c>
      <c r="D55" s="13" t="s">
        <v>56</v>
      </c>
      <c r="E55" s="14" t="n">
        <v>34</v>
      </c>
      <c r="F55" s="14" t="n">
        <v>25000</v>
      </c>
      <c r="G55" s="15" t="n">
        <v>13.02</v>
      </c>
      <c r="H55" s="13" t="n">
        <v>124</v>
      </c>
      <c r="I55" s="16" t="n">
        <v>0.3</v>
      </c>
      <c r="J55" s="16" t="n">
        <v>0.18</v>
      </c>
      <c r="K55" s="16" t="n">
        <v>0.36</v>
      </c>
      <c r="L55" s="16" t="n">
        <v>0.16</v>
      </c>
      <c r="M55" s="17" t="n">
        <f aca="false">(I55*Brief!$B$19+J55*Brief!$B$20+K55*Brief!$B$21+L55*Brief!$B$22)/0.25</f>
        <v>0.98</v>
      </c>
      <c r="N55" s="18" t="n">
        <f aca="false">AVERAGEIF($B$2:$B$132,B55,$G$2:$G$132)</f>
        <v>11.9783333333333</v>
      </c>
      <c r="O55" s="17" t="n">
        <f aca="false">(H55/100)*M55/(G55/N55)</f>
        <v>1.11797777777778</v>
      </c>
      <c r="P55" s="19" t="n">
        <f aca="false">COUNTIFS($B$2:$B$132,B55,$O$2:$O$132,"&gt;"&amp;O55)+1</f>
        <v>33</v>
      </c>
    </row>
    <row r="56" customFormat="false" ht="15" hidden="false" customHeight="false" outlineLevel="0" collapsed="false">
      <c r="A56" s="13" t="s">
        <v>112</v>
      </c>
      <c r="B56" s="13" t="s">
        <v>16</v>
      </c>
      <c r="C56" s="13" t="s">
        <v>55</v>
      </c>
      <c r="D56" s="13" t="s">
        <v>56</v>
      </c>
      <c r="E56" s="14" t="n">
        <v>23</v>
      </c>
      <c r="F56" s="14" t="n">
        <v>38000</v>
      </c>
      <c r="G56" s="15" t="n">
        <v>12.92</v>
      </c>
      <c r="H56" s="13" t="n">
        <v>105</v>
      </c>
      <c r="I56" s="16" t="n">
        <v>0.3</v>
      </c>
      <c r="J56" s="16" t="n">
        <v>0.14</v>
      </c>
      <c r="K56" s="16" t="n">
        <v>0.41</v>
      </c>
      <c r="L56" s="16" t="n">
        <v>0.14</v>
      </c>
      <c r="M56" s="17" t="n">
        <f aca="false">(I56*Brief!$B$19+J56*Brief!$B$20+K56*Brief!$B$21+L56*Brief!$B$22)/0.25</f>
        <v>0.98</v>
      </c>
      <c r="N56" s="18" t="n">
        <f aca="false">AVERAGEIF($B$2:$B$132,B56,$G$2:$G$132)</f>
        <v>11.9783333333333</v>
      </c>
      <c r="O56" s="17" t="n">
        <f aca="false">(H56/100)*M56/(G56/N56)</f>
        <v>0.95400193498452</v>
      </c>
      <c r="P56" s="19" t="n">
        <f aca="false">COUNTIFS($B$2:$B$132,B56,$O$2:$O$132,"&gt;"&amp;O56)+1</f>
        <v>38</v>
      </c>
    </row>
    <row r="57" customFormat="false" ht="15" hidden="false" customHeight="false" outlineLevel="0" collapsed="false">
      <c r="A57" s="13" t="s">
        <v>113</v>
      </c>
      <c r="B57" s="13" t="s">
        <v>16</v>
      </c>
      <c r="C57" s="13" t="s">
        <v>55</v>
      </c>
      <c r="D57" s="13" t="s">
        <v>56</v>
      </c>
      <c r="E57" s="14" t="n">
        <v>22</v>
      </c>
      <c r="F57" s="14" t="n">
        <v>51000</v>
      </c>
      <c r="G57" s="15" t="n">
        <v>9.91</v>
      </c>
      <c r="H57" s="13" t="n">
        <v>123</v>
      </c>
      <c r="I57" s="16" t="n">
        <v>0.29</v>
      </c>
      <c r="J57" s="16" t="n">
        <v>0.17</v>
      </c>
      <c r="K57" s="16" t="n">
        <v>0.36</v>
      </c>
      <c r="L57" s="16" t="n">
        <v>0.18</v>
      </c>
      <c r="M57" s="17" t="n">
        <f aca="false">(I57*Brief!$B$19+J57*Brief!$B$20+K57*Brief!$B$21+L57*Brief!$B$22)/0.25</f>
        <v>0.994</v>
      </c>
      <c r="N57" s="18" t="n">
        <f aca="false">AVERAGEIF($B$2:$B$132,B57,$G$2:$G$132)</f>
        <v>11.9783333333333</v>
      </c>
      <c r="O57" s="17" t="n">
        <f aca="false">(H57/100)*M57/(G57/N57)</f>
        <v>1.47779514631685</v>
      </c>
      <c r="P57" s="19" t="n">
        <f aca="false">COUNTIFS($B$2:$B$132,B57,$O$2:$O$132,"&gt;"&amp;O57)+1</f>
        <v>10</v>
      </c>
    </row>
    <row r="58" customFormat="false" ht="15" hidden="false" customHeight="false" outlineLevel="0" collapsed="false">
      <c r="A58" s="13" t="s">
        <v>114</v>
      </c>
      <c r="B58" s="13" t="s">
        <v>16</v>
      </c>
      <c r="C58" s="13" t="s">
        <v>65</v>
      </c>
      <c r="D58" s="13" t="s">
        <v>66</v>
      </c>
      <c r="E58" s="14" t="n">
        <v>39</v>
      </c>
      <c r="F58" s="14" t="n">
        <v>120000</v>
      </c>
      <c r="G58" s="15" t="n">
        <v>13.99</v>
      </c>
      <c r="H58" s="13" t="n">
        <v>134</v>
      </c>
      <c r="I58" s="16" t="n">
        <v>0.15</v>
      </c>
      <c r="J58" s="16" t="n">
        <v>0.28</v>
      </c>
      <c r="K58" s="16" t="n">
        <v>0.31</v>
      </c>
      <c r="L58" s="16" t="n">
        <v>0.27</v>
      </c>
      <c r="M58" s="17" t="n">
        <f aca="false">(I58*Brief!$B$19+J58*Brief!$B$20+K58*Brief!$B$21+L58*Brief!$B$22)/0.25</f>
        <v>1.064</v>
      </c>
      <c r="N58" s="18" t="n">
        <f aca="false">AVERAGEIF($B$2:$B$132,B58,$G$2:$G$132)</f>
        <v>11.9783333333333</v>
      </c>
      <c r="O58" s="17" t="n">
        <f aca="false">(H58/100)*M58/(G58/N58)</f>
        <v>1.22074542768644</v>
      </c>
      <c r="P58" s="19" t="n">
        <f aca="false">COUNTIFS($B$2:$B$132,B58,$O$2:$O$132,"&gt;"&amp;O58)+1</f>
        <v>30</v>
      </c>
    </row>
    <row r="59" customFormat="false" ht="15" hidden="false" customHeight="false" outlineLevel="0" collapsed="false">
      <c r="A59" s="13" t="s">
        <v>115</v>
      </c>
      <c r="B59" s="13" t="s">
        <v>16</v>
      </c>
      <c r="C59" s="13" t="s">
        <v>65</v>
      </c>
      <c r="D59" s="13" t="s">
        <v>66</v>
      </c>
      <c r="E59" s="14" t="n">
        <v>27</v>
      </c>
      <c r="F59" s="14" t="n">
        <v>51000</v>
      </c>
      <c r="G59" s="15" t="n">
        <v>14.58</v>
      </c>
      <c r="H59" s="13" t="n">
        <v>154</v>
      </c>
      <c r="I59" s="16" t="n">
        <v>0.17</v>
      </c>
      <c r="J59" s="16" t="n">
        <v>0.3</v>
      </c>
      <c r="K59" s="16" t="n">
        <v>0.31</v>
      </c>
      <c r="L59" s="16" t="n">
        <v>0.22</v>
      </c>
      <c r="M59" s="17" t="n">
        <f aca="false">(I59*Brief!$B$19+J59*Brief!$B$20+K59*Brief!$B$21+L59*Brief!$B$22)/0.25</f>
        <v>1.022</v>
      </c>
      <c r="N59" s="18" t="n">
        <f aca="false">AVERAGEIF($B$2:$B$132,B59,$G$2:$G$132)</f>
        <v>11.9783333333333</v>
      </c>
      <c r="O59" s="17" t="n">
        <f aca="false">(H59/100)*M59/(G59/N59)</f>
        <v>1.29303561499771</v>
      </c>
      <c r="P59" s="19" t="n">
        <f aca="false">COUNTIFS($B$2:$B$132,B59,$O$2:$O$132,"&gt;"&amp;O59)+1</f>
        <v>26</v>
      </c>
    </row>
    <row r="60" customFormat="false" ht="15" hidden="false" customHeight="false" outlineLevel="0" collapsed="false">
      <c r="A60" s="13" t="s">
        <v>116</v>
      </c>
      <c r="B60" s="13" t="s">
        <v>16</v>
      </c>
      <c r="C60" s="13" t="s">
        <v>65</v>
      </c>
      <c r="D60" s="13" t="s">
        <v>66</v>
      </c>
      <c r="E60" s="14" t="n">
        <v>11</v>
      </c>
      <c r="F60" s="14" t="n">
        <v>44000</v>
      </c>
      <c r="G60" s="15" t="n">
        <v>13.68</v>
      </c>
      <c r="H60" s="13" t="n">
        <v>159</v>
      </c>
      <c r="I60" s="16" t="n">
        <v>0.14</v>
      </c>
      <c r="J60" s="16" t="n">
        <v>0.32</v>
      </c>
      <c r="K60" s="16" t="n">
        <v>0.29</v>
      </c>
      <c r="L60" s="16" t="n">
        <v>0.25</v>
      </c>
      <c r="M60" s="17" t="n">
        <f aca="false">(I60*Brief!$B$19+J60*Brief!$B$20+K60*Brief!$B$21+L60*Brief!$B$22)/0.25</f>
        <v>1.038</v>
      </c>
      <c r="N60" s="18" t="n">
        <f aca="false">AVERAGEIF($B$2:$B$132,B60,$G$2:$G$132)</f>
        <v>11.9783333333333</v>
      </c>
      <c r="O60" s="17" t="n">
        <f aca="false">(H60/100)*M60/(G60/N60)</f>
        <v>1.44512287280702</v>
      </c>
      <c r="P60" s="19" t="n">
        <f aca="false">COUNTIFS($B$2:$B$132,B60,$O$2:$O$132,"&gt;"&amp;O60)+1</f>
        <v>12</v>
      </c>
    </row>
    <row r="61" customFormat="false" ht="15" hidden="false" customHeight="false" outlineLevel="0" collapsed="false">
      <c r="A61" s="13" t="s">
        <v>117</v>
      </c>
      <c r="B61" s="13" t="s">
        <v>16</v>
      </c>
      <c r="C61" s="13" t="s">
        <v>65</v>
      </c>
      <c r="D61" s="13" t="s">
        <v>66</v>
      </c>
      <c r="E61" s="14" t="n">
        <v>32</v>
      </c>
      <c r="F61" s="14" t="n">
        <v>114000</v>
      </c>
      <c r="G61" s="15" t="n">
        <v>14.55</v>
      </c>
      <c r="H61" s="13" t="n">
        <v>155</v>
      </c>
      <c r="I61" s="16" t="n">
        <v>0.12</v>
      </c>
      <c r="J61" s="16" t="n">
        <v>0.26</v>
      </c>
      <c r="K61" s="16" t="n">
        <v>0.32</v>
      </c>
      <c r="L61" s="16" t="n">
        <v>0.31</v>
      </c>
      <c r="M61" s="17" t="n">
        <f aca="false">(I61*Brief!$B$19+J61*Brief!$B$20+K61*Brief!$B$21+L61*Brief!$B$22)/0.25</f>
        <v>1.098</v>
      </c>
      <c r="N61" s="18" t="n">
        <f aca="false">AVERAGEIF($B$2:$B$132,B61,$G$2:$G$132)</f>
        <v>11.9783333333333</v>
      </c>
      <c r="O61" s="17" t="n">
        <f aca="false">(H61/100)*M61/(G61/N61)</f>
        <v>1.40109453608247</v>
      </c>
      <c r="P61" s="19" t="n">
        <f aca="false">COUNTIFS($B$2:$B$132,B61,$O$2:$O$132,"&gt;"&amp;O61)+1</f>
        <v>13</v>
      </c>
    </row>
    <row r="62" customFormat="false" ht="15" hidden="false" customHeight="false" outlineLevel="0" collapsed="false">
      <c r="A62" s="13" t="s">
        <v>118</v>
      </c>
      <c r="B62" s="13" t="s">
        <v>16</v>
      </c>
      <c r="C62" s="13" t="s">
        <v>65</v>
      </c>
      <c r="D62" s="13" t="s">
        <v>66</v>
      </c>
      <c r="E62" s="14" t="n">
        <v>29</v>
      </c>
      <c r="F62" s="14" t="n">
        <v>108000</v>
      </c>
      <c r="G62" s="15" t="n">
        <v>11.31</v>
      </c>
      <c r="H62" s="13" t="n">
        <v>154</v>
      </c>
      <c r="I62" s="16" t="n">
        <v>0.18</v>
      </c>
      <c r="J62" s="16" t="n">
        <v>0.28</v>
      </c>
      <c r="K62" s="16" t="n">
        <v>0.32</v>
      </c>
      <c r="L62" s="16" t="n">
        <v>0.23</v>
      </c>
      <c r="M62" s="17" t="n">
        <f aca="false">(I62*Brief!$B$19+J62*Brief!$B$20+K62*Brief!$B$21+L62*Brief!$B$22)/0.25</f>
        <v>1.038</v>
      </c>
      <c r="N62" s="18" t="n">
        <f aca="false">AVERAGEIF($B$2:$B$132,B62,$G$2:$G$132)</f>
        <v>11.9783333333333</v>
      </c>
      <c r="O62" s="17" t="n">
        <f aca="false">(H62/100)*M62/(G62/N62)</f>
        <v>1.69298014146773</v>
      </c>
      <c r="P62" s="19" t="n">
        <f aca="false">COUNTIFS($B$2:$B$132,B62,$O$2:$O$132,"&gt;"&amp;O62)+1</f>
        <v>2</v>
      </c>
    </row>
    <row r="63" customFormat="false" ht="15" hidden="false" customHeight="false" outlineLevel="0" collapsed="false">
      <c r="A63" s="13" t="s">
        <v>119</v>
      </c>
      <c r="B63" s="13" t="s">
        <v>16</v>
      </c>
      <c r="C63" s="13" t="s">
        <v>65</v>
      </c>
      <c r="D63" s="13" t="s">
        <v>66</v>
      </c>
      <c r="E63" s="14" t="n">
        <v>30</v>
      </c>
      <c r="F63" s="14" t="n">
        <v>89000</v>
      </c>
      <c r="G63" s="15" t="n">
        <v>10.79</v>
      </c>
      <c r="H63" s="13" t="n">
        <v>132</v>
      </c>
      <c r="I63" s="16" t="n">
        <v>0.12</v>
      </c>
      <c r="J63" s="16" t="n">
        <v>0.28</v>
      </c>
      <c r="K63" s="16" t="n">
        <v>0.31</v>
      </c>
      <c r="L63" s="16" t="n">
        <v>0.29</v>
      </c>
      <c r="M63" s="17" t="n">
        <f aca="false">(I63*Brief!$B$19+J63*Brief!$B$20+K63*Brief!$B$21+L63*Brief!$B$22)/0.25</f>
        <v>1.074</v>
      </c>
      <c r="N63" s="18" t="n">
        <f aca="false">AVERAGEIF($B$2:$B$132,B63,$G$2:$G$132)</f>
        <v>11.9783333333333</v>
      </c>
      <c r="O63" s="17" t="n">
        <f aca="false">(H63/100)*M63/(G63/N63)</f>
        <v>1.57381312326228</v>
      </c>
      <c r="P63" s="19" t="n">
        <f aca="false">COUNTIFS($B$2:$B$132,B63,$O$2:$O$132,"&gt;"&amp;O63)+1</f>
        <v>5</v>
      </c>
    </row>
    <row r="64" customFormat="false" ht="15" hidden="false" customHeight="false" outlineLevel="0" collapsed="false">
      <c r="A64" s="13" t="s">
        <v>120</v>
      </c>
      <c r="B64" s="13" t="s">
        <v>16</v>
      </c>
      <c r="C64" s="13" t="s">
        <v>65</v>
      </c>
      <c r="D64" s="13" t="s">
        <v>66</v>
      </c>
      <c r="E64" s="14" t="n">
        <v>26</v>
      </c>
      <c r="F64" s="14" t="n">
        <v>47000</v>
      </c>
      <c r="G64" s="15" t="n">
        <v>11.46</v>
      </c>
      <c r="H64" s="13" t="n">
        <v>141</v>
      </c>
      <c r="I64" s="16" t="n">
        <v>0.17</v>
      </c>
      <c r="J64" s="16" t="n">
        <v>0.3</v>
      </c>
      <c r="K64" s="16" t="n">
        <v>0.25</v>
      </c>
      <c r="L64" s="16" t="n">
        <v>0.28</v>
      </c>
      <c r="M64" s="17" t="n">
        <f aca="false">(I64*Brief!$B$19+J64*Brief!$B$20+K64*Brief!$B$21+L64*Brief!$B$22)/0.25</f>
        <v>1.034</v>
      </c>
      <c r="N64" s="18" t="n">
        <f aca="false">AVERAGEIF($B$2:$B$132,B64,$G$2:$G$132)</f>
        <v>11.9783333333333</v>
      </c>
      <c r="O64" s="17" t="n">
        <f aca="false">(H64/100)*M64/(G64/N64)</f>
        <v>1.52388231239092</v>
      </c>
      <c r="P64" s="19" t="n">
        <f aca="false">COUNTIFS($B$2:$B$132,B64,$O$2:$O$132,"&gt;"&amp;O64)+1</f>
        <v>9</v>
      </c>
    </row>
    <row r="65" customFormat="false" ht="15" hidden="false" customHeight="false" outlineLevel="0" collapsed="false">
      <c r="A65" s="13" t="s">
        <v>121</v>
      </c>
      <c r="B65" s="13" t="s">
        <v>16</v>
      </c>
      <c r="C65" s="13" t="s">
        <v>74</v>
      </c>
      <c r="D65" s="13" t="s">
        <v>75</v>
      </c>
      <c r="E65" s="14" t="n">
        <v>20</v>
      </c>
      <c r="F65" s="14" t="n">
        <v>77000</v>
      </c>
      <c r="G65" s="15" t="n">
        <v>14.5</v>
      </c>
      <c r="H65" s="13" t="n">
        <v>92</v>
      </c>
      <c r="I65" s="16" t="n">
        <v>0.39</v>
      </c>
      <c r="J65" s="16" t="n">
        <v>0.42</v>
      </c>
      <c r="K65" s="16" t="n">
        <v>0.2</v>
      </c>
      <c r="L65" s="16" t="n">
        <v>0</v>
      </c>
      <c r="M65" s="17" t="n">
        <f aca="false">(I65*Brief!$B$19+J65*Brief!$B$20+K65*Brief!$B$21+L65*Brief!$B$22)/0.25</f>
        <v>0.81</v>
      </c>
      <c r="N65" s="18" t="n">
        <f aca="false">AVERAGEIF($B$2:$B$132,B65,$G$2:$G$132)</f>
        <v>11.9783333333333</v>
      </c>
      <c r="O65" s="17" t="n">
        <f aca="false">(H65/100)*M65/(G65/N65)</f>
        <v>0.615603724137931</v>
      </c>
      <c r="P65" s="19" t="n">
        <f aca="false">COUNTIFS($B$2:$B$132,B65,$O$2:$O$132,"&gt;"&amp;O65)+1</f>
        <v>42</v>
      </c>
    </row>
    <row r="66" customFormat="false" ht="15" hidden="false" customHeight="false" outlineLevel="0" collapsed="false">
      <c r="A66" s="13" t="s">
        <v>122</v>
      </c>
      <c r="B66" s="13" t="s">
        <v>16</v>
      </c>
      <c r="C66" s="13" t="s">
        <v>74</v>
      </c>
      <c r="D66" s="13" t="s">
        <v>75</v>
      </c>
      <c r="E66" s="14" t="n">
        <v>9</v>
      </c>
      <c r="F66" s="14" t="n">
        <v>55000</v>
      </c>
      <c r="G66" s="15" t="n">
        <v>15.15</v>
      </c>
      <c r="H66" s="13" t="n">
        <v>92</v>
      </c>
      <c r="I66" s="16" t="n">
        <v>0.36</v>
      </c>
      <c r="J66" s="16" t="n">
        <v>0.44</v>
      </c>
      <c r="K66" s="16" t="n">
        <v>0.19</v>
      </c>
      <c r="L66" s="16" t="n">
        <v>0</v>
      </c>
      <c r="M66" s="17" t="n">
        <f aca="false">(I66*Brief!$B$19+J66*Brief!$B$20+K66*Brief!$B$21+L66*Brief!$B$22)/0.25</f>
        <v>0.796</v>
      </c>
      <c r="N66" s="18" t="n">
        <f aca="false">AVERAGEIF($B$2:$B$132,B66,$G$2:$G$132)</f>
        <v>11.9783333333333</v>
      </c>
      <c r="O66" s="17" t="n">
        <f aca="false">(H66/100)*M66/(G66/N66)</f>
        <v>0.579008123212321</v>
      </c>
      <c r="P66" s="19" t="n">
        <f aca="false">COUNTIFS($B$2:$B$132,B66,$O$2:$O$132,"&gt;"&amp;O66)+1</f>
        <v>45</v>
      </c>
    </row>
    <row r="67" customFormat="false" ht="15" hidden="false" customHeight="false" outlineLevel="0" collapsed="false">
      <c r="A67" s="13" t="s">
        <v>123</v>
      </c>
      <c r="B67" s="13" t="s">
        <v>16</v>
      </c>
      <c r="C67" s="13" t="s">
        <v>74</v>
      </c>
      <c r="D67" s="13" t="s">
        <v>75</v>
      </c>
      <c r="E67" s="14" t="n">
        <v>7</v>
      </c>
      <c r="F67" s="14" t="n">
        <v>51000</v>
      </c>
      <c r="G67" s="15" t="n">
        <v>16.45</v>
      </c>
      <c r="H67" s="13" t="n">
        <v>94</v>
      </c>
      <c r="I67" s="16" t="n">
        <v>0.41</v>
      </c>
      <c r="J67" s="16" t="n">
        <v>0.41</v>
      </c>
      <c r="K67" s="16" t="n">
        <v>0.18</v>
      </c>
      <c r="L67" s="16" t="n">
        <v>0</v>
      </c>
      <c r="M67" s="17" t="n">
        <f aca="false">(I67*Brief!$B$19+J67*Brief!$B$20+K67*Brief!$B$21+L67*Brief!$B$22)/0.25</f>
        <v>0.79</v>
      </c>
      <c r="N67" s="18" t="n">
        <f aca="false">AVERAGEIF($B$2:$B$132,B67,$G$2:$G$132)</f>
        <v>11.9783333333333</v>
      </c>
      <c r="O67" s="17" t="n">
        <f aca="false">(H67/100)*M67/(G67/N67)</f>
        <v>0.540736190476191</v>
      </c>
      <c r="P67" s="19" t="n">
        <f aca="false">COUNTIFS($B$2:$B$132,B67,$O$2:$O$132,"&gt;"&amp;O67)+1</f>
        <v>47</v>
      </c>
    </row>
    <row r="68" customFormat="false" ht="15" hidden="false" customHeight="false" outlineLevel="0" collapsed="false">
      <c r="A68" s="13" t="s">
        <v>124</v>
      </c>
      <c r="B68" s="13" t="s">
        <v>16</v>
      </c>
      <c r="C68" s="13" t="s">
        <v>74</v>
      </c>
      <c r="D68" s="13" t="s">
        <v>75</v>
      </c>
      <c r="E68" s="14" t="n">
        <v>38</v>
      </c>
      <c r="F68" s="14" t="n">
        <v>46000</v>
      </c>
      <c r="G68" s="15" t="n">
        <v>12.83</v>
      </c>
      <c r="H68" s="13" t="n">
        <v>98</v>
      </c>
      <c r="I68" s="16" t="n">
        <v>0.41</v>
      </c>
      <c r="J68" s="16" t="n">
        <v>0.42</v>
      </c>
      <c r="K68" s="16" t="n">
        <v>0.18</v>
      </c>
      <c r="L68" s="16" t="n">
        <v>0</v>
      </c>
      <c r="M68" s="17" t="n">
        <f aca="false">(I68*Brief!$B$19+J68*Brief!$B$20+K68*Brief!$B$21+L68*Brief!$B$22)/0.25</f>
        <v>0.798</v>
      </c>
      <c r="N68" s="18" t="n">
        <f aca="false">AVERAGEIF($B$2:$B$132,B68,$G$2:$G$132)</f>
        <v>11.9783333333333</v>
      </c>
      <c r="O68" s="17" t="n">
        <f aca="false">(H68/100)*M68/(G68/N68)</f>
        <v>0.730127498051442</v>
      </c>
      <c r="P68" s="19" t="n">
        <f aca="false">COUNTIFS($B$2:$B$132,B68,$O$2:$O$132,"&gt;"&amp;O68)+1</f>
        <v>40</v>
      </c>
    </row>
    <row r="69" customFormat="false" ht="15" hidden="false" customHeight="false" outlineLevel="0" collapsed="false">
      <c r="A69" s="13" t="s">
        <v>125</v>
      </c>
      <c r="B69" s="13" t="s">
        <v>16</v>
      </c>
      <c r="C69" s="13" t="s">
        <v>74</v>
      </c>
      <c r="D69" s="13" t="s">
        <v>75</v>
      </c>
      <c r="E69" s="14" t="n">
        <v>16</v>
      </c>
      <c r="F69" s="14" t="n">
        <v>65000</v>
      </c>
      <c r="G69" s="15" t="n">
        <v>16.68</v>
      </c>
      <c r="H69" s="13" t="n">
        <v>98</v>
      </c>
      <c r="I69" s="16" t="n">
        <v>0.36</v>
      </c>
      <c r="J69" s="16" t="n">
        <v>0.42</v>
      </c>
      <c r="K69" s="16" t="n">
        <v>0.22</v>
      </c>
      <c r="L69" s="16" t="n">
        <v>0</v>
      </c>
      <c r="M69" s="17" t="n">
        <f aca="false">(I69*Brief!$B$19+J69*Brief!$B$20+K69*Brief!$B$21+L69*Brief!$B$22)/0.25</f>
        <v>0.816</v>
      </c>
      <c r="N69" s="18" t="n">
        <f aca="false">AVERAGEIF($B$2:$B$132,B69,$G$2:$G$132)</f>
        <v>11.9783333333333</v>
      </c>
      <c r="O69" s="17" t="n">
        <f aca="false">(H69/100)*M69/(G69/N69)</f>
        <v>0.574270599520384</v>
      </c>
      <c r="P69" s="19" t="n">
        <f aca="false">COUNTIFS($B$2:$B$132,B69,$O$2:$O$132,"&gt;"&amp;O69)+1</f>
        <v>46</v>
      </c>
    </row>
    <row r="70" customFormat="false" ht="15" hidden="false" customHeight="false" outlineLevel="0" collapsed="false">
      <c r="A70" s="13" t="s">
        <v>126</v>
      </c>
      <c r="B70" s="13" t="s">
        <v>16</v>
      </c>
      <c r="C70" s="13" t="s">
        <v>74</v>
      </c>
      <c r="D70" s="13" t="s">
        <v>75</v>
      </c>
      <c r="E70" s="14" t="n">
        <v>11</v>
      </c>
      <c r="F70" s="14" t="n">
        <v>61000</v>
      </c>
      <c r="G70" s="15" t="n">
        <v>14.87</v>
      </c>
      <c r="H70" s="13" t="n">
        <v>96</v>
      </c>
      <c r="I70" s="16" t="n">
        <v>0.4</v>
      </c>
      <c r="J70" s="16" t="n">
        <v>0.41</v>
      </c>
      <c r="K70" s="16" t="n">
        <v>0.19</v>
      </c>
      <c r="L70" s="16" t="n">
        <v>0</v>
      </c>
      <c r="M70" s="17" t="n">
        <f aca="false">(I70*Brief!$B$19+J70*Brief!$B$20+K70*Brief!$B$21+L70*Brief!$B$22)/0.25</f>
        <v>0.796</v>
      </c>
      <c r="N70" s="18" t="n">
        <f aca="false">AVERAGEIF($B$2:$B$132,B70,$G$2:$G$132)</f>
        <v>11.9783333333333</v>
      </c>
      <c r="O70" s="17" t="n">
        <f aca="false">(H70/100)*M70/(G70/N70)</f>
        <v>0.615559058507061</v>
      </c>
      <c r="P70" s="19" t="n">
        <f aca="false">COUNTIFS($B$2:$B$132,B70,$O$2:$O$132,"&gt;"&amp;O70)+1</f>
        <v>43</v>
      </c>
    </row>
    <row r="71" customFormat="false" ht="15" hidden="false" customHeight="false" outlineLevel="0" collapsed="false">
      <c r="A71" s="13" t="s">
        <v>127</v>
      </c>
      <c r="B71" s="13" t="s">
        <v>16</v>
      </c>
      <c r="C71" s="13" t="s">
        <v>74</v>
      </c>
      <c r="D71" s="13" t="s">
        <v>75</v>
      </c>
      <c r="E71" s="14" t="n">
        <v>34</v>
      </c>
      <c r="F71" s="14" t="n">
        <v>56000</v>
      </c>
      <c r="G71" s="15" t="n">
        <v>17.64</v>
      </c>
      <c r="H71" s="13" t="n">
        <v>97</v>
      </c>
      <c r="I71" s="16" t="n">
        <v>0.39</v>
      </c>
      <c r="J71" s="16" t="n">
        <v>0.42</v>
      </c>
      <c r="K71" s="16" t="n">
        <v>0.19</v>
      </c>
      <c r="L71" s="16" t="n">
        <v>0</v>
      </c>
      <c r="M71" s="17" t="n">
        <f aca="false">(I71*Brief!$B$19+J71*Brief!$B$20+K71*Brief!$B$21+L71*Brief!$B$22)/0.25</f>
        <v>0.798</v>
      </c>
      <c r="N71" s="18" t="n">
        <f aca="false">AVERAGEIF($B$2:$B$132,B71,$G$2:$G$132)</f>
        <v>11.9783333333333</v>
      </c>
      <c r="O71" s="17" t="n">
        <f aca="false">(H71/100)*M71/(G71/N71)</f>
        <v>0.525620674603175</v>
      </c>
      <c r="P71" s="19" t="n">
        <f aca="false">COUNTIFS($B$2:$B$132,B71,$O$2:$O$132,"&gt;"&amp;O71)+1</f>
        <v>48</v>
      </c>
    </row>
    <row r="72" customFormat="false" ht="15" hidden="false" customHeight="false" outlineLevel="0" collapsed="false">
      <c r="A72" s="13" t="s">
        <v>128</v>
      </c>
      <c r="B72" s="13" t="s">
        <v>16</v>
      </c>
      <c r="C72" s="13" t="s">
        <v>74</v>
      </c>
      <c r="D72" s="13" t="s">
        <v>75</v>
      </c>
      <c r="E72" s="14" t="n">
        <v>33</v>
      </c>
      <c r="F72" s="14" t="n">
        <v>44000</v>
      </c>
      <c r="G72" s="15" t="n">
        <v>14.71</v>
      </c>
      <c r="H72" s="13" t="n">
        <v>90</v>
      </c>
      <c r="I72" s="16" t="n">
        <v>0.41</v>
      </c>
      <c r="J72" s="16" t="n">
        <v>0.37</v>
      </c>
      <c r="K72" s="16" t="n">
        <v>0.22</v>
      </c>
      <c r="L72" s="16" t="n">
        <v>0</v>
      </c>
      <c r="M72" s="17" t="n">
        <f aca="false">(I72*Brief!$B$19+J72*Brief!$B$20+K72*Brief!$B$21+L72*Brief!$B$22)/0.25</f>
        <v>0.806</v>
      </c>
      <c r="N72" s="18" t="n">
        <f aca="false">AVERAGEIF($B$2:$B$132,B72,$G$2:$G$132)</f>
        <v>11.9783333333333</v>
      </c>
      <c r="O72" s="17" t="n">
        <f aca="false">(H72/100)*M72/(G72/N72)</f>
        <v>0.590692250169952</v>
      </c>
      <c r="P72" s="19" t="n">
        <f aca="false">COUNTIFS($B$2:$B$132,B72,$O$2:$O$132,"&gt;"&amp;O72)+1</f>
        <v>44</v>
      </c>
    </row>
    <row r="73" customFormat="false" ht="15" hidden="false" customHeight="false" outlineLevel="0" collapsed="false">
      <c r="A73" s="13" t="s">
        <v>129</v>
      </c>
      <c r="B73" s="13" t="s">
        <v>16</v>
      </c>
      <c r="C73" s="13" t="s">
        <v>74</v>
      </c>
      <c r="D73" s="13" t="s">
        <v>75</v>
      </c>
      <c r="E73" s="14" t="n">
        <v>19</v>
      </c>
      <c r="F73" s="14" t="n">
        <v>73000</v>
      </c>
      <c r="G73" s="15" t="n">
        <v>14.95</v>
      </c>
      <c r="H73" s="13" t="n">
        <v>102</v>
      </c>
      <c r="I73" s="16" t="n">
        <v>0.41</v>
      </c>
      <c r="J73" s="16" t="n">
        <v>0.44</v>
      </c>
      <c r="K73" s="16" t="n">
        <v>0.15</v>
      </c>
      <c r="L73" s="16" t="n">
        <v>0</v>
      </c>
      <c r="M73" s="17" t="n">
        <f aca="false">(I73*Brief!$B$19+J73*Brief!$B$20+K73*Brief!$B$21+L73*Brief!$B$22)/0.25</f>
        <v>0.778</v>
      </c>
      <c r="N73" s="18" t="n">
        <f aca="false">AVERAGEIF($B$2:$B$132,B73,$G$2:$G$132)</f>
        <v>11.9783333333333</v>
      </c>
      <c r="O73" s="17" t="n">
        <f aca="false">(H73/100)*M73/(G73/N73)</f>
        <v>0.635821150501672</v>
      </c>
      <c r="P73" s="19" t="n">
        <f aca="false">COUNTIFS($B$2:$B$132,B73,$O$2:$O$132,"&gt;"&amp;O73)+1</f>
        <v>41</v>
      </c>
    </row>
    <row r="74" customFormat="false" ht="15" hidden="false" customHeight="false" outlineLevel="0" collapsed="false">
      <c r="A74" s="13" t="s">
        <v>130</v>
      </c>
      <c r="B74" s="13" t="s">
        <v>16</v>
      </c>
      <c r="C74" s="13" t="s">
        <v>83</v>
      </c>
      <c r="D74" s="13" t="s">
        <v>84</v>
      </c>
      <c r="E74" s="14" t="n">
        <v>9</v>
      </c>
      <c r="F74" s="14" t="n">
        <v>150000</v>
      </c>
      <c r="G74" s="15" t="n">
        <v>9.78</v>
      </c>
      <c r="H74" s="13" t="n">
        <v>111</v>
      </c>
      <c r="I74" s="16" t="n">
        <v>0.34</v>
      </c>
      <c r="J74" s="16" t="n">
        <v>0.19</v>
      </c>
      <c r="K74" s="16" t="n">
        <v>0.25</v>
      </c>
      <c r="L74" s="16" t="n">
        <v>0.22</v>
      </c>
      <c r="M74" s="17" t="n">
        <f aca="false">(I74*Brief!$B$19+J74*Brief!$B$20+K74*Brief!$B$21+L74*Brief!$B$22)/0.25</f>
        <v>0.964</v>
      </c>
      <c r="N74" s="18" t="n">
        <f aca="false">AVERAGEIF($B$2:$B$132,B74,$G$2:$G$132)</f>
        <v>11.9783333333333</v>
      </c>
      <c r="O74" s="17" t="n">
        <f aca="false">(H74/100)*M74/(G74/N74)</f>
        <v>1.31056194274029</v>
      </c>
      <c r="P74" s="19" t="n">
        <f aca="false">COUNTIFS($B$2:$B$132,B74,$O$2:$O$132,"&gt;"&amp;O74)+1</f>
        <v>24</v>
      </c>
    </row>
    <row r="75" customFormat="false" ht="15" hidden="false" customHeight="false" outlineLevel="0" collapsed="false">
      <c r="A75" s="13" t="s">
        <v>131</v>
      </c>
      <c r="B75" s="13" t="s">
        <v>16</v>
      </c>
      <c r="C75" s="13" t="s">
        <v>83</v>
      </c>
      <c r="D75" s="13" t="s">
        <v>84</v>
      </c>
      <c r="E75" s="14" t="n">
        <v>15</v>
      </c>
      <c r="F75" s="14" t="n">
        <v>51000</v>
      </c>
      <c r="G75" s="15" t="n">
        <v>8.01</v>
      </c>
      <c r="H75" s="13" t="n">
        <v>116</v>
      </c>
      <c r="I75" s="16" t="n">
        <v>0.33</v>
      </c>
      <c r="J75" s="16" t="n">
        <v>0.16</v>
      </c>
      <c r="K75" s="16" t="n">
        <v>0.3</v>
      </c>
      <c r="L75" s="16" t="n">
        <v>0.21</v>
      </c>
      <c r="M75" s="17" t="n">
        <f aca="false">(I75*Brief!$B$19+J75*Brief!$B$20+K75*Brief!$B$21+L75*Brief!$B$22)/0.25</f>
        <v>0.98</v>
      </c>
      <c r="N75" s="18" t="n">
        <f aca="false">AVERAGEIF($B$2:$B$132,B75,$G$2:$G$132)</f>
        <v>11.9783333333333</v>
      </c>
      <c r="O75" s="17" t="n">
        <f aca="false">(H75/100)*M75/(G75/N75)</f>
        <v>1.69999617145235</v>
      </c>
      <c r="P75" s="19" t="n">
        <f aca="false">COUNTIFS($B$2:$B$132,B75,$O$2:$O$132,"&gt;"&amp;O75)+1</f>
        <v>1</v>
      </c>
    </row>
    <row r="76" customFormat="false" ht="15" hidden="false" customHeight="false" outlineLevel="0" collapsed="false">
      <c r="A76" s="13" t="s">
        <v>132</v>
      </c>
      <c r="B76" s="13" t="s">
        <v>16</v>
      </c>
      <c r="C76" s="13" t="s">
        <v>83</v>
      </c>
      <c r="D76" s="13" t="s">
        <v>84</v>
      </c>
      <c r="E76" s="14" t="n">
        <v>22</v>
      </c>
      <c r="F76" s="14" t="n">
        <v>106000</v>
      </c>
      <c r="G76" s="15" t="n">
        <v>9.99</v>
      </c>
      <c r="H76" s="13" t="n">
        <v>117</v>
      </c>
      <c r="I76" s="16" t="n">
        <v>0.3</v>
      </c>
      <c r="J76" s="16" t="n">
        <v>0.17</v>
      </c>
      <c r="K76" s="16" t="n">
        <v>0.3</v>
      </c>
      <c r="L76" s="16" t="n">
        <v>0.23</v>
      </c>
      <c r="M76" s="17" t="n">
        <f aca="false">(I76*Brief!$B$19+J76*Brief!$B$20+K76*Brief!$B$21+L76*Brief!$B$22)/0.25</f>
        <v>0.998</v>
      </c>
      <c r="N76" s="18" t="n">
        <f aca="false">AVERAGEIF($B$2:$B$132,B76,$G$2:$G$132)</f>
        <v>11.9783333333333</v>
      </c>
      <c r="O76" s="17" t="n">
        <f aca="false">(H76/100)*M76/(G76/N76)</f>
        <v>1.40006213213213</v>
      </c>
      <c r="P76" s="19" t="n">
        <f aca="false">COUNTIFS($B$2:$B$132,B76,$O$2:$O$132,"&gt;"&amp;O76)+1</f>
        <v>14</v>
      </c>
    </row>
    <row r="77" customFormat="false" ht="15" hidden="false" customHeight="false" outlineLevel="0" collapsed="false">
      <c r="A77" s="13" t="s">
        <v>133</v>
      </c>
      <c r="B77" s="13" t="s">
        <v>16</v>
      </c>
      <c r="C77" s="13" t="s">
        <v>83</v>
      </c>
      <c r="D77" s="13" t="s">
        <v>84</v>
      </c>
      <c r="E77" s="14" t="n">
        <v>39</v>
      </c>
      <c r="F77" s="14" t="n">
        <v>126000</v>
      </c>
      <c r="G77" s="15" t="n">
        <v>8.72</v>
      </c>
      <c r="H77" s="13" t="n">
        <v>112</v>
      </c>
      <c r="I77" s="16" t="n">
        <v>0.28</v>
      </c>
      <c r="J77" s="16" t="n">
        <v>0.23</v>
      </c>
      <c r="K77" s="16" t="n">
        <v>0.27</v>
      </c>
      <c r="L77" s="16" t="n">
        <v>0.23</v>
      </c>
      <c r="M77" s="17" t="n">
        <f aca="false">(I77*Brief!$B$19+J77*Brief!$B$20+K77*Brief!$B$21+L77*Brief!$B$22)/0.25</f>
        <v>0.998</v>
      </c>
      <c r="N77" s="18" t="n">
        <f aca="false">AVERAGEIF($B$2:$B$132,B77,$G$2:$G$132)</f>
        <v>11.9783333333333</v>
      </c>
      <c r="O77" s="17" t="n">
        <f aca="false">(H77/100)*M77/(G77/N77)</f>
        <v>1.53542452599388</v>
      </c>
      <c r="P77" s="19" t="n">
        <f aca="false">COUNTIFS($B$2:$B$132,B77,$O$2:$O$132,"&gt;"&amp;O77)+1</f>
        <v>8</v>
      </c>
    </row>
    <row r="78" customFormat="false" ht="15" hidden="false" customHeight="false" outlineLevel="0" collapsed="false">
      <c r="A78" s="13" t="s">
        <v>134</v>
      </c>
      <c r="B78" s="13" t="s">
        <v>16</v>
      </c>
      <c r="C78" s="13" t="s">
        <v>83</v>
      </c>
      <c r="D78" s="13" t="s">
        <v>84</v>
      </c>
      <c r="E78" s="14" t="n">
        <v>20</v>
      </c>
      <c r="F78" s="14" t="n">
        <v>73000</v>
      </c>
      <c r="G78" s="15" t="n">
        <v>8.27</v>
      </c>
      <c r="H78" s="13" t="n">
        <v>107</v>
      </c>
      <c r="I78" s="16" t="n">
        <v>0.3</v>
      </c>
      <c r="J78" s="16" t="n">
        <v>0.18</v>
      </c>
      <c r="K78" s="16" t="n">
        <v>0.3</v>
      </c>
      <c r="L78" s="16" t="n">
        <v>0.22</v>
      </c>
      <c r="M78" s="17" t="n">
        <f aca="false">(I78*Brief!$B$19+J78*Brief!$B$20+K78*Brief!$B$21+L78*Brief!$B$22)/0.25</f>
        <v>0.992</v>
      </c>
      <c r="N78" s="18" t="n">
        <f aca="false">AVERAGEIF($B$2:$B$132,B78,$G$2:$G$132)</f>
        <v>11.9783333333333</v>
      </c>
      <c r="O78" s="17" t="n">
        <f aca="false">(H78/100)*M78/(G78/N78)</f>
        <v>1.53739808141878</v>
      </c>
      <c r="P78" s="19" t="n">
        <f aca="false">COUNTIFS($B$2:$B$132,B78,$O$2:$O$132,"&gt;"&amp;O78)+1</f>
        <v>7</v>
      </c>
    </row>
    <row r="79" customFormat="false" ht="15" hidden="false" customHeight="false" outlineLevel="0" collapsed="false">
      <c r="A79" s="13" t="s">
        <v>135</v>
      </c>
      <c r="B79" s="13" t="s">
        <v>16</v>
      </c>
      <c r="C79" s="13" t="s">
        <v>83</v>
      </c>
      <c r="D79" s="13" t="s">
        <v>84</v>
      </c>
      <c r="E79" s="14" t="n">
        <v>21</v>
      </c>
      <c r="F79" s="14" t="n">
        <v>134000</v>
      </c>
      <c r="G79" s="15" t="n">
        <v>9.36</v>
      </c>
      <c r="H79" s="13" t="n">
        <v>113</v>
      </c>
      <c r="I79" s="16" t="n">
        <v>0.38</v>
      </c>
      <c r="J79" s="16" t="n">
        <v>0.14</v>
      </c>
      <c r="K79" s="16" t="n">
        <v>0.31</v>
      </c>
      <c r="L79" s="16" t="n">
        <v>0.17</v>
      </c>
      <c r="M79" s="17" t="n">
        <f aca="false">(I79*Brief!$B$19+J79*Brief!$B$20+K79*Brief!$B$21+L79*Brief!$B$22)/0.25</f>
        <v>0.95</v>
      </c>
      <c r="N79" s="18" t="n">
        <f aca="false">AVERAGEIF($B$2:$B$132,B79,$G$2:$G$132)</f>
        <v>11.9783333333333</v>
      </c>
      <c r="O79" s="17" t="n">
        <f aca="false">(H79/100)*M79/(G79/N79)</f>
        <v>1.37379709757835</v>
      </c>
      <c r="P79" s="19" t="n">
        <f aca="false">COUNTIFS($B$2:$B$132,B79,$O$2:$O$132,"&gt;"&amp;O79)+1</f>
        <v>17</v>
      </c>
    </row>
    <row r="80" customFormat="false" ht="15" hidden="false" customHeight="false" outlineLevel="0" collapsed="false">
      <c r="A80" s="13" t="s">
        <v>136</v>
      </c>
      <c r="B80" s="13" t="s">
        <v>16</v>
      </c>
      <c r="C80" s="13" t="s">
        <v>83</v>
      </c>
      <c r="D80" s="13" t="s">
        <v>84</v>
      </c>
      <c r="E80" s="14" t="n">
        <v>27</v>
      </c>
      <c r="F80" s="14" t="n">
        <v>104000</v>
      </c>
      <c r="G80" s="15" t="n">
        <v>8.42</v>
      </c>
      <c r="H80" s="13" t="n">
        <v>118</v>
      </c>
      <c r="I80" s="16" t="n">
        <v>0.3</v>
      </c>
      <c r="J80" s="16" t="n">
        <v>0.2</v>
      </c>
      <c r="K80" s="16" t="n">
        <v>0.32</v>
      </c>
      <c r="L80" s="16" t="n">
        <v>0.18</v>
      </c>
      <c r="M80" s="17" t="n">
        <f aca="false">(I80*Brief!$B$19+J80*Brief!$B$20+K80*Brief!$B$21+L80*Brief!$B$22)/0.25</f>
        <v>0.976</v>
      </c>
      <c r="N80" s="18" t="n">
        <f aca="false">AVERAGEIF($B$2:$B$132,B80,$G$2:$G$132)</f>
        <v>11.9783333333333</v>
      </c>
      <c r="O80" s="17" t="n">
        <f aca="false">(H80/100)*M80/(G80/N80)</f>
        <v>1.63838562153603</v>
      </c>
      <c r="P80" s="19" t="n">
        <f aca="false">COUNTIFS($B$2:$B$132,B80,$O$2:$O$132,"&gt;"&amp;O80)+1</f>
        <v>4</v>
      </c>
    </row>
    <row r="81" customFormat="false" ht="15" hidden="false" customHeight="false" outlineLevel="0" collapsed="false">
      <c r="A81" s="13" t="s">
        <v>137</v>
      </c>
      <c r="B81" s="13" t="s">
        <v>16</v>
      </c>
      <c r="C81" s="13" t="s">
        <v>83</v>
      </c>
      <c r="D81" s="13" t="s">
        <v>84</v>
      </c>
      <c r="E81" s="14" t="n">
        <v>34</v>
      </c>
      <c r="F81" s="14" t="n">
        <v>141000</v>
      </c>
      <c r="G81" s="15" t="n">
        <v>9.2</v>
      </c>
      <c r="H81" s="13" t="n">
        <v>106</v>
      </c>
      <c r="I81" s="16" t="n">
        <v>0.29</v>
      </c>
      <c r="J81" s="16" t="n">
        <v>0.19</v>
      </c>
      <c r="K81" s="16" t="n">
        <v>0.33</v>
      </c>
      <c r="L81" s="16" t="n">
        <v>0.18</v>
      </c>
      <c r="M81" s="17" t="n">
        <f aca="false">(I81*Brief!$B$19+J81*Brief!$B$20+K81*Brief!$B$21+L81*Brief!$B$22)/0.25</f>
        <v>0.974</v>
      </c>
      <c r="N81" s="18" t="n">
        <f aca="false">AVERAGEIF($B$2:$B$132,B81,$G$2:$G$132)</f>
        <v>11.9783333333333</v>
      </c>
      <c r="O81" s="17" t="n">
        <f aca="false">(H81/100)*M81/(G81/N81)</f>
        <v>1.34422939855072</v>
      </c>
      <c r="P81" s="19" t="n">
        <f aca="false">COUNTIFS($B$2:$B$132,B81,$O$2:$O$132,"&gt;"&amp;O81)+1</f>
        <v>19</v>
      </c>
    </row>
    <row r="82" customFormat="false" ht="15" hidden="false" customHeight="false" outlineLevel="0" collapsed="false">
      <c r="A82" s="13" t="s">
        <v>138</v>
      </c>
      <c r="B82" s="13" t="s">
        <v>16</v>
      </c>
      <c r="C82" s="13" t="s">
        <v>92</v>
      </c>
      <c r="D82" s="13" t="s">
        <v>93</v>
      </c>
      <c r="E82" s="14" t="n">
        <v>26</v>
      </c>
      <c r="F82" s="14" t="n">
        <v>101000</v>
      </c>
      <c r="G82" s="15" t="n">
        <v>10.87</v>
      </c>
      <c r="H82" s="13" t="n">
        <v>127</v>
      </c>
      <c r="I82" s="16" t="n">
        <v>0.07</v>
      </c>
      <c r="J82" s="16" t="n">
        <v>0.29</v>
      </c>
      <c r="K82" s="16" t="n">
        <v>0.26</v>
      </c>
      <c r="L82" s="16" t="n">
        <v>0.38</v>
      </c>
      <c r="M82" s="17" t="n">
        <f aca="false">(I82*Brief!$B$19+J82*Brief!$B$20+K82*Brief!$B$21+L82*Brief!$B$22)/0.25</f>
        <v>1.118</v>
      </c>
      <c r="N82" s="18" t="n">
        <f aca="false">AVERAGEIF($B$2:$B$132,B82,$G$2:$G$132)</f>
        <v>11.9783333333333</v>
      </c>
      <c r="O82" s="17" t="n">
        <f aca="false">(H82/100)*M82/(G82/N82)</f>
        <v>1.56463260042932</v>
      </c>
      <c r="P82" s="19" t="n">
        <f aca="false">COUNTIFS($B$2:$B$132,B82,$O$2:$O$132,"&gt;"&amp;O82)+1</f>
        <v>6</v>
      </c>
    </row>
    <row r="83" customFormat="false" ht="15" hidden="false" customHeight="false" outlineLevel="0" collapsed="false">
      <c r="A83" s="13" t="s">
        <v>139</v>
      </c>
      <c r="B83" s="13" t="s">
        <v>16</v>
      </c>
      <c r="C83" s="13" t="s">
        <v>92</v>
      </c>
      <c r="D83" s="13" t="s">
        <v>93</v>
      </c>
      <c r="E83" s="14" t="n">
        <v>19</v>
      </c>
      <c r="F83" s="14" t="n">
        <v>152000</v>
      </c>
      <c r="G83" s="15" t="n">
        <v>9.48</v>
      </c>
      <c r="H83" s="13" t="n">
        <v>121</v>
      </c>
      <c r="I83" s="16" t="n">
        <v>0.12</v>
      </c>
      <c r="J83" s="16" t="n">
        <v>0.29</v>
      </c>
      <c r="K83" s="16" t="n">
        <v>0.23</v>
      </c>
      <c r="L83" s="16" t="n">
        <v>0.36</v>
      </c>
      <c r="M83" s="17" t="n">
        <f aca="false">(I83*Brief!$B$19+J83*Brief!$B$20+K83*Brief!$B$21+L83*Brief!$B$22)/0.25</f>
        <v>1.084</v>
      </c>
      <c r="N83" s="18" t="n">
        <f aca="false">AVERAGEIF($B$2:$B$132,B83,$G$2:$G$132)</f>
        <v>11.9783333333333</v>
      </c>
      <c r="O83" s="17" t="n">
        <f aca="false">(H83/100)*M83/(G83/N83)</f>
        <v>1.65730602672293</v>
      </c>
      <c r="P83" s="19" t="n">
        <f aca="false">COUNTIFS($B$2:$B$132,B83,$O$2:$O$132,"&gt;"&amp;O83)+1</f>
        <v>3</v>
      </c>
    </row>
    <row r="84" customFormat="false" ht="15" hidden="false" customHeight="false" outlineLevel="0" collapsed="false">
      <c r="A84" s="13" t="s">
        <v>140</v>
      </c>
      <c r="B84" s="13" t="s">
        <v>16</v>
      </c>
      <c r="C84" s="13" t="s">
        <v>92</v>
      </c>
      <c r="D84" s="13" t="s">
        <v>93</v>
      </c>
      <c r="E84" s="14" t="n">
        <v>32</v>
      </c>
      <c r="F84" s="14" t="n">
        <v>137000</v>
      </c>
      <c r="G84" s="15" t="n">
        <v>12.65</v>
      </c>
      <c r="H84" s="13" t="n">
        <v>127</v>
      </c>
      <c r="I84" s="16" t="n">
        <v>0.11</v>
      </c>
      <c r="J84" s="16" t="n">
        <v>0.29</v>
      </c>
      <c r="K84" s="16" t="n">
        <v>0.27</v>
      </c>
      <c r="L84" s="16" t="n">
        <v>0.32</v>
      </c>
      <c r="M84" s="17" t="n">
        <f aca="false">(I84*Brief!$B$19+J84*Brief!$B$20+K84*Brief!$B$21+L84*Brief!$B$22)/0.25</f>
        <v>1.07</v>
      </c>
      <c r="N84" s="18" t="n">
        <f aca="false">AVERAGEIF($B$2:$B$132,B84,$G$2:$G$132)</f>
        <v>11.9783333333333</v>
      </c>
      <c r="O84" s="17" t="n">
        <f aca="false">(H84/100)*M84/(G84/N84)</f>
        <v>1.28674760210804</v>
      </c>
      <c r="P84" s="19" t="n">
        <f aca="false">COUNTIFS($B$2:$B$132,B84,$O$2:$O$132,"&gt;"&amp;O84)+1</f>
        <v>27</v>
      </c>
    </row>
    <row r="85" customFormat="false" ht="15" hidden="false" customHeight="false" outlineLevel="0" collapsed="false">
      <c r="A85" s="13" t="s">
        <v>141</v>
      </c>
      <c r="B85" s="13" t="s">
        <v>16</v>
      </c>
      <c r="C85" s="13" t="s">
        <v>92</v>
      </c>
      <c r="D85" s="13" t="s">
        <v>93</v>
      </c>
      <c r="E85" s="14" t="n">
        <v>20</v>
      </c>
      <c r="F85" s="14" t="n">
        <v>94000</v>
      </c>
      <c r="G85" s="15" t="n">
        <v>12.53</v>
      </c>
      <c r="H85" s="13" t="n">
        <v>132</v>
      </c>
      <c r="I85" s="16" t="n">
        <v>0.12</v>
      </c>
      <c r="J85" s="16" t="n">
        <v>0.25</v>
      </c>
      <c r="K85" s="16" t="n">
        <v>0.24</v>
      </c>
      <c r="L85" s="16" t="n">
        <v>0.38</v>
      </c>
      <c r="M85" s="17" t="n">
        <f aca="false">(I85*Brief!$B$19+J85*Brief!$B$20+K85*Brief!$B$21+L85*Brief!$B$22)/0.25</f>
        <v>1.092</v>
      </c>
      <c r="N85" s="18" t="n">
        <f aca="false">AVERAGEIF($B$2:$B$132,B85,$G$2:$G$132)</f>
        <v>11.9783333333333</v>
      </c>
      <c r="O85" s="17" t="n">
        <f aca="false">(H85/100)*M85/(G85/N85)</f>
        <v>1.37797675977654</v>
      </c>
      <c r="P85" s="19" t="n">
        <f aca="false">COUNTIFS($B$2:$B$132,B85,$O$2:$O$132,"&gt;"&amp;O85)+1</f>
        <v>16</v>
      </c>
    </row>
    <row r="86" customFormat="false" ht="15" hidden="false" customHeight="false" outlineLevel="0" collapsed="false">
      <c r="A86" s="13" t="s">
        <v>142</v>
      </c>
      <c r="B86" s="13" t="s">
        <v>16</v>
      </c>
      <c r="C86" s="13" t="s">
        <v>92</v>
      </c>
      <c r="D86" s="13" t="s">
        <v>93</v>
      </c>
      <c r="E86" s="14" t="n">
        <v>7</v>
      </c>
      <c r="F86" s="14" t="n">
        <v>115000</v>
      </c>
      <c r="G86" s="15" t="n">
        <v>12.53</v>
      </c>
      <c r="H86" s="13" t="n">
        <v>134</v>
      </c>
      <c r="I86" s="16" t="n">
        <v>0.07</v>
      </c>
      <c r="J86" s="16" t="n">
        <v>0.28</v>
      </c>
      <c r="K86" s="16" t="n">
        <v>0.26</v>
      </c>
      <c r="L86" s="16" t="n">
        <v>0.4</v>
      </c>
      <c r="M86" s="17" t="n">
        <f aca="false">(I86*Brief!$B$19+J86*Brief!$B$20+K86*Brief!$B$21+L86*Brief!$B$22)/0.25</f>
        <v>1.138</v>
      </c>
      <c r="N86" s="18" t="n">
        <f aca="false">AVERAGEIF($B$2:$B$132,B86,$G$2:$G$132)</f>
        <v>11.9783333333333</v>
      </c>
      <c r="O86" s="17" t="n">
        <f aca="false">(H86/100)*M86/(G86/N86)</f>
        <v>1.457781330141</v>
      </c>
      <c r="P86" s="19" t="n">
        <f aca="false">COUNTIFS($B$2:$B$132,B86,$O$2:$O$132,"&gt;"&amp;O86)+1</f>
        <v>11</v>
      </c>
    </row>
    <row r="87" customFormat="false" ht="15" hidden="false" customHeight="false" outlineLevel="0" collapsed="false">
      <c r="A87" s="13" t="s">
        <v>143</v>
      </c>
      <c r="B87" s="13" t="s">
        <v>16</v>
      </c>
      <c r="C87" s="13" t="s">
        <v>92</v>
      </c>
      <c r="D87" s="13" t="s">
        <v>93</v>
      </c>
      <c r="E87" s="14" t="n">
        <v>35</v>
      </c>
      <c r="F87" s="14" t="n">
        <v>136000</v>
      </c>
      <c r="G87" s="15" t="n">
        <v>13.56</v>
      </c>
      <c r="H87" s="13" t="n">
        <v>134</v>
      </c>
      <c r="I87" s="16" t="n">
        <v>0.06</v>
      </c>
      <c r="J87" s="16" t="n">
        <v>0.3</v>
      </c>
      <c r="K87" s="16" t="n">
        <v>0.27</v>
      </c>
      <c r="L87" s="16" t="n">
        <v>0.38</v>
      </c>
      <c r="M87" s="17" t="n">
        <f aca="false">(I87*Brief!$B$19+J87*Brief!$B$20+K87*Brief!$B$21+L87*Brief!$B$22)/0.25</f>
        <v>1.132</v>
      </c>
      <c r="N87" s="18" t="n">
        <f aca="false">AVERAGEIF($B$2:$B$132,B87,$G$2:$G$132)</f>
        <v>11.9783333333333</v>
      </c>
      <c r="O87" s="17" t="n">
        <f aca="false">(H87/100)*M87/(G87/N87)</f>
        <v>1.33994795476893</v>
      </c>
      <c r="P87" s="19" t="n">
        <f aca="false">COUNTIFS($B$2:$B$132,B87,$O$2:$O$132,"&gt;"&amp;O87)+1</f>
        <v>20</v>
      </c>
    </row>
    <row r="88" customFormat="false" ht="15" hidden="false" customHeight="false" outlineLevel="0" collapsed="false">
      <c r="A88" s="13" t="s">
        <v>144</v>
      </c>
      <c r="B88" s="13" t="s">
        <v>16</v>
      </c>
      <c r="C88" s="13" t="s">
        <v>92</v>
      </c>
      <c r="D88" s="13" t="s">
        <v>93</v>
      </c>
      <c r="E88" s="14" t="n">
        <v>23</v>
      </c>
      <c r="F88" s="14" t="n">
        <v>191000</v>
      </c>
      <c r="G88" s="15" t="n">
        <v>12.9</v>
      </c>
      <c r="H88" s="13" t="n">
        <v>131</v>
      </c>
      <c r="I88" s="16" t="n">
        <v>0.11</v>
      </c>
      <c r="J88" s="16" t="n">
        <v>0.28</v>
      </c>
      <c r="K88" s="16" t="n">
        <v>0.28</v>
      </c>
      <c r="L88" s="16" t="n">
        <v>0.33</v>
      </c>
      <c r="M88" s="17" t="n">
        <f aca="false">(I88*Brief!$B$19+J88*Brief!$B$20+K88*Brief!$B$21+L88*Brief!$B$22)/0.25</f>
        <v>1.088</v>
      </c>
      <c r="N88" s="18" t="n">
        <f aca="false">AVERAGEIF($B$2:$B$132,B88,$G$2:$G$132)</f>
        <v>11.9783333333333</v>
      </c>
      <c r="O88" s="17" t="n">
        <f aca="false">(H88/100)*M88/(G88/N88)</f>
        <v>1.32344797932817</v>
      </c>
      <c r="P88" s="19" t="n">
        <f aca="false">COUNTIFS($B$2:$B$132,B88,$O$2:$O$132,"&gt;"&amp;O88)+1</f>
        <v>21</v>
      </c>
    </row>
    <row r="89" customFormat="false" ht="15" hidden="false" customHeight="false" outlineLevel="0" collapsed="false">
      <c r="A89" s="13" t="s">
        <v>145</v>
      </c>
      <c r="B89" s="13" t="s">
        <v>16</v>
      </c>
      <c r="C89" s="13" t="s">
        <v>92</v>
      </c>
      <c r="D89" s="13" t="s">
        <v>93</v>
      </c>
      <c r="E89" s="14" t="n">
        <v>37</v>
      </c>
      <c r="F89" s="14" t="n">
        <v>166000</v>
      </c>
      <c r="G89" s="15" t="n">
        <v>12.7</v>
      </c>
      <c r="H89" s="13" t="n">
        <v>128</v>
      </c>
      <c r="I89" s="16" t="n">
        <v>0.12</v>
      </c>
      <c r="J89" s="16" t="n">
        <v>0.26</v>
      </c>
      <c r="K89" s="16" t="n">
        <v>0.28</v>
      </c>
      <c r="L89" s="16" t="n">
        <v>0.34</v>
      </c>
      <c r="M89" s="17" t="n">
        <f aca="false">(I89*Brief!$B$19+J89*Brief!$B$20+K89*Brief!$B$21+L89*Brief!$B$22)/0.25</f>
        <v>1.092</v>
      </c>
      <c r="N89" s="18" t="n">
        <f aca="false">AVERAGEIF($B$2:$B$132,B89,$G$2:$G$132)</f>
        <v>11.9783333333333</v>
      </c>
      <c r="O89" s="17" t="n">
        <f aca="false">(H89/100)*M89/(G89/N89)</f>
        <v>1.31833348031496</v>
      </c>
      <c r="P89" s="19" t="n">
        <f aca="false">COUNTIFS($B$2:$B$132,B89,$O$2:$O$132,"&gt;"&amp;O89)+1</f>
        <v>22</v>
      </c>
    </row>
    <row r="90" customFormat="false" ht="15" hidden="false" customHeight="false" outlineLevel="0" collapsed="false">
      <c r="A90" s="13" t="s">
        <v>146</v>
      </c>
      <c r="B90" s="13" t="s">
        <v>16</v>
      </c>
      <c r="C90" s="13" t="s">
        <v>92</v>
      </c>
      <c r="D90" s="13" t="s">
        <v>93</v>
      </c>
      <c r="E90" s="14" t="n">
        <v>36</v>
      </c>
      <c r="F90" s="14" t="n">
        <v>155000</v>
      </c>
      <c r="G90" s="15" t="n">
        <v>13.05</v>
      </c>
      <c r="H90" s="13" t="n">
        <v>119</v>
      </c>
      <c r="I90" s="16" t="n">
        <v>0.08</v>
      </c>
      <c r="J90" s="16" t="n">
        <v>0.27</v>
      </c>
      <c r="K90" s="16" t="n">
        <v>0.28</v>
      </c>
      <c r="L90" s="16" t="n">
        <v>0.37</v>
      </c>
      <c r="M90" s="17" t="n">
        <f aca="false">(I90*Brief!$B$19+J90*Brief!$B$20+K90*Brief!$B$21+L90*Brief!$B$22)/0.25</f>
        <v>1.118</v>
      </c>
      <c r="N90" s="18" t="n">
        <f aca="false">AVERAGEIF($B$2:$B$132,B90,$G$2:$G$132)</f>
        <v>11.9783333333333</v>
      </c>
      <c r="O90" s="17" t="n">
        <f aca="false">(H90/100)*M90/(G90/N90)</f>
        <v>1.22116584163474</v>
      </c>
      <c r="P90" s="19" t="n">
        <f aca="false">COUNTIFS($B$2:$B$132,B90,$O$2:$O$132,"&gt;"&amp;O90)+1</f>
        <v>29</v>
      </c>
    </row>
    <row r="91" customFormat="false" ht="15" hidden="false" customHeight="false" outlineLevel="0" collapsed="false">
      <c r="A91" s="13" t="s">
        <v>147</v>
      </c>
      <c r="B91" s="13" t="s">
        <v>17</v>
      </c>
      <c r="C91" s="13" t="s">
        <v>47</v>
      </c>
      <c r="D91" s="13" t="s">
        <v>48</v>
      </c>
      <c r="E91" s="14" t="n">
        <v>4</v>
      </c>
      <c r="F91" s="14" t="n">
        <v>374000</v>
      </c>
      <c r="G91" s="15" t="n">
        <v>10.15</v>
      </c>
      <c r="H91" s="13" t="n">
        <v>98</v>
      </c>
      <c r="I91" s="16" t="n">
        <v>0.36</v>
      </c>
      <c r="J91" s="16" t="n">
        <v>0.13</v>
      </c>
      <c r="K91" s="16" t="n">
        <v>0.37</v>
      </c>
      <c r="L91" s="16" t="n">
        <v>0.14</v>
      </c>
      <c r="M91" s="17" t="n">
        <f aca="false">(I91*Brief!$B$19+J91*Brief!$B$20+K91*Brief!$B$21+L91*Brief!$B$22)/0.25</f>
        <v>0.96</v>
      </c>
      <c r="N91" s="18" t="n">
        <f aca="false">AVERAGEIF($B$2:$B$132,B91,$G$2:$G$132)</f>
        <v>10.592380952381</v>
      </c>
      <c r="O91" s="17" t="n">
        <f aca="false">(H91/100)*M91/(G91/N91)</f>
        <v>0.981804137931034</v>
      </c>
      <c r="P91" s="19" t="n">
        <f aca="false">COUNTIFS($B$2:$B$132,B91,$O$2:$O$132,"&gt;"&amp;O91)+1</f>
        <v>33</v>
      </c>
    </row>
    <row r="92" customFormat="false" ht="15" hidden="false" customHeight="false" outlineLevel="0" collapsed="false">
      <c r="A92" s="13" t="s">
        <v>148</v>
      </c>
      <c r="B92" s="13" t="s">
        <v>17</v>
      </c>
      <c r="C92" s="13" t="s">
        <v>47</v>
      </c>
      <c r="D92" s="13" t="s">
        <v>48</v>
      </c>
      <c r="E92" s="14" t="n">
        <v>12</v>
      </c>
      <c r="F92" s="14" t="n">
        <v>298000</v>
      </c>
      <c r="G92" s="15" t="n">
        <v>9.11</v>
      </c>
      <c r="H92" s="13" t="n">
        <v>96</v>
      </c>
      <c r="I92" s="16" t="n">
        <v>0.27</v>
      </c>
      <c r="J92" s="16" t="n">
        <v>0.19</v>
      </c>
      <c r="K92" s="16" t="n">
        <v>0.41</v>
      </c>
      <c r="L92" s="16" t="n">
        <v>0.13</v>
      </c>
      <c r="M92" s="17" t="n">
        <f aca="false">(I92*Brief!$B$19+J92*Brief!$B$20+K92*Brief!$B$21+L92*Brief!$B$22)/0.25</f>
        <v>0.988</v>
      </c>
      <c r="N92" s="18" t="n">
        <f aca="false">AVERAGEIF($B$2:$B$132,B92,$G$2:$G$132)</f>
        <v>10.592380952381</v>
      </c>
      <c r="O92" s="17" t="n">
        <f aca="false">(H92/100)*M92/(G92/N92)</f>
        <v>1.10281684804767</v>
      </c>
      <c r="P92" s="19" t="n">
        <f aca="false">COUNTIFS($B$2:$B$132,B92,$O$2:$O$132,"&gt;"&amp;O92)+1</f>
        <v>28</v>
      </c>
    </row>
    <row r="93" customFormat="false" ht="15" hidden="false" customHeight="false" outlineLevel="0" collapsed="false">
      <c r="A93" s="13" t="s">
        <v>149</v>
      </c>
      <c r="B93" s="13" t="s">
        <v>17</v>
      </c>
      <c r="C93" s="13" t="s">
        <v>47</v>
      </c>
      <c r="D93" s="13" t="s">
        <v>48</v>
      </c>
      <c r="E93" s="14" t="n">
        <v>13</v>
      </c>
      <c r="F93" s="14" t="n">
        <v>329000</v>
      </c>
      <c r="G93" s="15" t="n">
        <v>10.67</v>
      </c>
      <c r="H93" s="13" t="n">
        <v>103</v>
      </c>
      <c r="I93" s="16" t="n">
        <v>0.35</v>
      </c>
      <c r="J93" s="16" t="n">
        <v>0.12</v>
      </c>
      <c r="K93" s="16" t="n">
        <v>0.37</v>
      </c>
      <c r="L93" s="16" t="n">
        <v>0.17</v>
      </c>
      <c r="M93" s="17" t="n">
        <f aca="false">(I93*Brief!$B$19+J93*Brief!$B$20+K93*Brief!$B$21+L93*Brief!$B$22)/0.25</f>
        <v>0.988</v>
      </c>
      <c r="N93" s="18" t="n">
        <f aca="false">AVERAGEIF($B$2:$B$132,B93,$G$2:$G$132)</f>
        <v>10.592380952381</v>
      </c>
      <c r="O93" s="17" t="n">
        <f aca="false">(H93/100)*M93/(G93/N93)</f>
        <v>1.0102371651716</v>
      </c>
      <c r="P93" s="19" t="n">
        <f aca="false">COUNTIFS($B$2:$B$132,B93,$O$2:$O$132,"&gt;"&amp;O93)+1</f>
        <v>31</v>
      </c>
    </row>
    <row r="94" customFormat="false" ht="15" hidden="false" customHeight="false" outlineLevel="0" collapsed="false">
      <c r="A94" s="13" t="s">
        <v>150</v>
      </c>
      <c r="B94" s="13" t="s">
        <v>17</v>
      </c>
      <c r="C94" s="13" t="s">
        <v>47</v>
      </c>
      <c r="D94" s="13" t="s">
        <v>48</v>
      </c>
      <c r="E94" s="14" t="n">
        <v>39</v>
      </c>
      <c r="F94" s="14" t="n">
        <v>399000</v>
      </c>
      <c r="G94" s="15" t="n">
        <v>10.26</v>
      </c>
      <c r="H94" s="13" t="n">
        <v>106</v>
      </c>
      <c r="I94" s="16" t="n">
        <v>0.35</v>
      </c>
      <c r="J94" s="16" t="n">
        <v>0.14</v>
      </c>
      <c r="K94" s="16" t="n">
        <v>0.34</v>
      </c>
      <c r="L94" s="16" t="n">
        <v>0.17</v>
      </c>
      <c r="M94" s="17" t="n">
        <f aca="false">(I94*Brief!$B$19+J94*Brief!$B$20+K94*Brief!$B$21+L94*Brief!$B$22)/0.25</f>
        <v>0.968</v>
      </c>
      <c r="N94" s="18" t="n">
        <f aca="false">AVERAGEIF($B$2:$B$132,B94,$G$2:$G$132)</f>
        <v>10.592380952381</v>
      </c>
      <c r="O94" s="17" t="n">
        <f aca="false">(H94/100)*M94/(G94/N94)</f>
        <v>1.05932068690244</v>
      </c>
      <c r="P94" s="19" t="n">
        <f aca="false">COUNTIFS($B$2:$B$132,B94,$O$2:$O$132,"&gt;"&amp;O94)+1</f>
        <v>29</v>
      </c>
    </row>
    <row r="95" customFormat="false" ht="15" hidden="false" customHeight="false" outlineLevel="0" collapsed="false">
      <c r="A95" s="13" t="s">
        <v>151</v>
      </c>
      <c r="B95" s="13" t="s">
        <v>17</v>
      </c>
      <c r="C95" s="13" t="s">
        <v>47</v>
      </c>
      <c r="D95" s="13" t="s">
        <v>48</v>
      </c>
      <c r="E95" s="14" t="n">
        <v>25</v>
      </c>
      <c r="F95" s="14" t="n">
        <v>241000</v>
      </c>
      <c r="G95" s="15" t="n">
        <v>7.86</v>
      </c>
      <c r="H95" s="13" t="n">
        <v>100</v>
      </c>
      <c r="I95" s="16" t="n">
        <v>0.34</v>
      </c>
      <c r="J95" s="16" t="n">
        <v>0.13</v>
      </c>
      <c r="K95" s="16" t="n">
        <v>0.39</v>
      </c>
      <c r="L95" s="16" t="n">
        <v>0.14</v>
      </c>
      <c r="M95" s="17" t="n">
        <f aca="false">(I95*Brief!$B$19+J95*Brief!$B$20+K95*Brief!$B$21+L95*Brief!$B$22)/0.25</f>
        <v>0.972</v>
      </c>
      <c r="N95" s="18" t="n">
        <f aca="false">AVERAGEIF($B$2:$B$132,B95,$G$2:$G$132)</f>
        <v>10.592380952381</v>
      </c>
      <c r="O95" s="17" t="n">
        <f aca="false">(H95/100)*M95/(G95/N95)</f>
        <v>1.30989749182116</v>
      </c>
      <c r="P95" s="19" t="n">
        <f aca="false">COUNTIFS($B$2:$B$132,B95,$O$2:$O$132,"&gt;"&amp;O95)+1</f>
        <v>16</v>
      </c>
    </row>
    <row r="96" customFormat="false" ht="15" hidden="false" customHeight="false" outlineLevel="0" collapsed="false">
      <c r="A96" s="13" t="s">
        <v>152</v>
      </c>
      <c r="B96" s="13" t="s">
        <v>17</v>
      </c>
      <c r="C96" s="13" t="s">
        <v>47</v>
      </c>
      <c r="D96" s="13" t="s">
        <v>48</v>
      </c>
      <c r="E96" s="14" t="n">
        <v>11</v>
      </c>
      <c r="F96" s="14" t="n">
        <v>255000</v>
      </c>
      <c r="G96" s="15" t="n">
        <v>11.24</v>
      </c>
      <c r="H96" s="13" t="n">
        <v>109</v>
      </c>
      <c r="I96" s="16" t="n">
        <v>0.35</v>
      </c>
      <c r="J96" s="16" t="n">
        <v>0.12</v>
      </c>
      <c r="K96" s="16" t="n">
        <v>0.35</v>
      </c>
      <c r="L96" s="16" t="n">
        <v>0.18</v>
      </c>
      <c r="M96" s="17" t="n">
        <f aca="false">(I96*Brief!$B$19+J96*Brief!$B$20+K96*Brief!$B$21+L96*Brief!$B$22)/0.25</f>
        <v>0.978</v>
      </c>
      <c r="N96" s="18" t="n">
        <f aca="false">AVERAGEIF($B$2:$B$132,B96,$G$2:$G$132)</f>
        <v>10.592380952381</v>
      </c>
      <c r="O96" s="17" t="n">
        <f aca="false">(H96/100)*M96/(G96/N96)</f>
        <v>1.00459874936451</v>
      </c>
      <c r="P96" s="19" t="n">
        <f aca="false">COUNTIFS($B$2:$B$132,B96,$O$2:$O$132,"&gt;"&amp;O96)+1</f>
        <v>33</v>
      </c>
    </row>
    <row r="97" customFormat="false" ht="15" hidden="false" customHeight="false" outlineLevel="0" collapsed="false">
      <c r="A97" s="13" t="s">
        <v>153</v>
      </c>
      <c r="B97" s="13" t="s">
        <v>17</v>
      </c>
      <c r="C97" s="13" t="s">
        <v>47</v>
      </c>
      <c r="D97" s="13" t="s">
        <v>48</v>
      </c>
      <c r="E97" s="14" t="n">
        <v>31</v>
      </c>
      <c r="F97" s="14" t="n">
        <v>231000</v>
      </c>
      <c r="G97" s="15" t="n">
        <v>11.05</v>
      </c>
      <c r="H97" s="13" t="n">
        <v>99</v>
      </c>
      <c r="I97" s="16" t="n">
        <v>0.36</v>
      </c>
      <c r="J97" s="16" t="n">
        <v>0.15</v>
      </c>
      <c r="K97" s="16" t="n">
        <v>0.38</v>
      </c>
      <c r="L97" s="16" t="n">
        <v>0.11</v>
      </c>
      <c r="M97" s="17" t="n">
        <f aca="false">(I97*Brief!$B$19+J97*Brief!$B$20+K97*Brief!$B$21+L97*Brief!$B$22)/0.25</f>
        <v>0.946</v>
      </c>
      <c r="N97" s="18" t="n">
        <f aca="false">AVERAGEIF($B$2:$B$132,B97,$G$2:$G$132)</f>
        <v>10.592380952381</v>
      </c>
      <c r="O97" s="17" t="n">
        <f aca="false">(H97/100)*M97/(G97/N97)</f>
        <v>0.897754611506141</v>
      </c>
      <c r="P97" s="19" t="n">
        <f aca="false">COUNTIFS($B$2:$B$132,B97,$O$2:$O$132,"&gt;"&amp;O97)+1</f>
        <v>36</v>
      </c>
    </row>
    <row r="98" customFormat="false" ht="15" hidden="false" customHeight="false" outlineLevel="0" collapsed="false">
      <c r="A98" s="13" t="s">
        <v>154</v>
      </c>
      <c r="B98" s="13" t="s">
        <v>17</v>
      </c>
      <c r="C98" s="13" t="s">
        <v>55</v>
      </c>
      <c r="D98" s="13" t="s">
        <v>56</v>
      </c>
      <c r="E98" s="14" t="n">
        <v>34</v>
      </c>
      <c r="F98" s="14" t="n">
        <v>33000</v>
      </c>
      <c r="G98" s="15" t="n">
        <v>9.14</v>
      </c>
      <c r="H98" s="13" t="n">
        <v>109</v>
      </c>
      <c r="I98" s="16" t="n">
        <v>0.24</v>
      </c>
      <c r="J98" s="16" t="n">
        <v>0.24</v>
      </c>
      <c r="K98" s="16" t="n">
        <v>0.38</v>
      </c>
      <c r="L98" s="16" t="n">
        <v>0.14</v>
      </c>
      <c r="M98" s="17" t="n">
        <f aca="false">(I98*Brief!$B$19+J98*Brief!$B$20+K98*Brief!$B$21+L98*Brief!$B$22)/0.25</f>
        <v>0.988</v>
      </c>
      <c r="N98" s="18" t="n">
        <f aca="false">AVERAGEIF($B$2:$B$132,B98,$G$2:$G$132)</f>
        <v>10.592380952381</v>
      </c>
      <c r="O98" s="17" t="n">
        <f aca="false">(H98/100)*M98/(G98/N98)</f>
        <v>1.24804670626237</v>
      </c>
      <c r="P98" s="19" t="n">
        <f aca="false">COUNTIFS($B$2:$B$132,B98,$O$2:$O$132,"&gt;"&amp;O98)+1</f>
        <v>20</v>
      </c>
    </row>
    <row r="99" customFormat="false" ht="15" hidden="false" customHeight="false" outlineLevel="0" collapsed="false">
      <c r="A99" s="13" t="s">
        <v>155</v>
      </c>
      <c r="B99" s="13" t="s">
        <v>17</v>
      </c>
      <c r="C99" s="13" t="s">
        <v>55</v>
      </c>
      <c r="D99" s="13" t="s">
        <v>56</v>
      </c>
      <c r="E99" s="14" t="n">
        <v>26</v>
      </c>
      <c r="F99" s="14" t="n">
        <v>39000</v>
      </c>
      <c r="G99" s="15" t="n">
        <v>12.33</v>
      </c>
      <c r="H99" s="13" t="n">
        <v>113</v>
      </c>
      <c r="I99" s="16" t="n">
        <v>0.34</v>
      </c>
      <c r="J99" s="16" t="n">
        <v>0.19</v>
      </c>
      <c r="K99" s="16" t="n">
        <v>0.33</v>
      </c>
      <c r="L99" s="16" t="n">
        <v>0.13</v>
      </c>
      <c r="M99" s="17" t="n">
        <f aca="false">(I99*Brief!$B$19+J99*Brief!$B$20+K99*Brief!$B$21+L99*Brief!$B$22)/0.25</f>
        <v>0.934</v>
      </c>
      <c r="N99" s="18" t="n">
        <f aca="false">AVERAGEIF($B$2:$B$132,B99,$G$2:$G$132)</f>
        <v>10.592380952381</v>
      </c>
      <c r="O99" s="17" t="n">
        <f aca="false">(H99/100)*M99/(G99/N99)</f>
        <v>0.906683755455142</v>
      </c>
      <c r="P99" s="19" t="n">
        <f aca="false">COUNTIFS($B$2:$B$132,B99,$O$2:$O$132,"&gt;"&amp;O99)+1</f>
        <v>35</v>
      </c>
    </row>
    <row r="100" customFormat="false" ht="15" hidden="false" customHeight="false" outlineLevel="0" collapsed="false">
      <c r="A100" s="13" t="s">
        <v>156</v>
      </c>
      <c r="B100" s="13" t="s">
        <v>17</v>
      </c>
      <c r="C100" s="13" t="s">
        <v>55</v>
      </c>
      <c r="D100" s="13" t="s">
        <v>56</v>
      </c>
      <c r="E100" s="14" t="n">
        <v>15</v>
      </c>
      <c r="F100" s="14" t="n">
        <v>46000</v>
      </c>
      <c r="G100" s="15" t="n">
        <v>12.18</v>
      </c>
      <c r="H100" s="13" t="n">
        <v>107</v>
      </c>
      <c r="I100" s="16" t="n">
        <v>0.29</v>
      </c>
      <c r="J100" s="16" t="n">
        <v>0.19</v>
      </c>
      <c r="K100" s="16" t="n">
        <v>0.34</v>
      </c>
      <c r="L100" s="16" t="n">
        <v>0.18</v>
      </c>
      <c r="M100" s="17" t="n">
        <f aca="false">(I100*Brief!$B$19+J100*Brief!$B$20+K100*Brief!$B$21+L100*Brief!$B$22)/0.25</f>
        <v>0.986</v>
      </c>
      <c r="N100" s="18" t="n">
        <f aca="false">AVERAGEIF($B$2:$B$132,B100,$G$2:$G$132)</f>
        <v>10.592380952381</v>
      </c>
      <c r="O100" s="17" t="n">
        <f aca="false">(H100/100)*M100/(G100/N100)</f>
        <v>0.917501950113379</v>
      </c>
      <c r="P100" s="19" t="n">
        <f aca="false">COUNTIFS($B$2:$B$132,B100,$O$2:$O$132,"&gt;"&amp;O100)+1</f>
        <v>34</v>
      </c>
    </row>
    <row r="101" customFormat="false" ht="15" hidden="false" customHeight="false" outlineLevel="0" collapsed="false">
      <c r="A101" s="13" t="s">
        <v>157</v>
      </c>
      <c r="B101" s="13" t="s">
        <v>17</v>
      </c>
      <c r="C101" s="13" t="s">
        <v>55</v>
      </c>
      <c r="D101" s="13" t="s">
        <v>56</v>
      </c>
      <c r="E101" s="14" t="n">
        <v>30</v>
      </c>
      <c r="F101" s="14" t="n">
        <v>22000</v>
      </c>
      <c r="G101" s="15" t="n">
        <v>9.49</v>
      </c>
      <c r="H101" s="13" t="n">
        <v>107</v>
      </c>
      <c r="I101" s="16" t="n">
        <v>0.32</v>
      </c>
      <c r="J101" s="16" t="n">
        <v>0.2</v>
      </c>
      <c r="K101" s="16" t="n">
        <v>0.39</v>
      </c>
      <c r="L101" s="16" t="n">
        <v>0.09</v>
      </c>
      <c r="M101" s="17" t="n">
        <f aca="false">(I101*Brief!$B$19+J101*Brief!$B$20+K101*Brief!$B$21+L101*Brief!$B$22)/0.25</f>
        <v>0.946</v>
      </c>
      <c r="N101" s="18" t="n">
        <f aca="false">AVERAGEIF($B$2:$B$132,B101,$G$2:$G$132)</f>
        <v>10.592380952381</v>
      </c>
      <c r="O101" s="17" t="n">
        <f aca="false">(H101/100)*M101/(G101/N101)</f>
        <v>1.1298018806764</v>
      </c>
      <c r="P101" s="19" t="n">
        <f aca="false">COUNTIFS($B$2:$B$132,B101,$O$2:$O$132,"&gt;"&amp;O101)+1</f>
        <v>25</v>
      </c>
    </row>
    <row r="102" customFormat="false" ht="15" hidden="false" customHeight="false" outlineLevel="0" collapsed="false">
      <c r="A102" s="13" t="s">
        <v>158</v>
      </c>
      <c r="B102" s="13" t="s">
        <v>17</v>
      </c>
      <c r="C102" s="13" t="s">
        <v>55</v>
      </c>
      <c r="D102" s="13" t="s">
        <v>56</v>
      </c>
      <c r="E102" s="14" t="n">
        <v>5</v>
      </c>
      <c r="F102" s="14" t="n">
        <v>24000</v>
      </c>
      <c r="G102" s="15" t="n">
        <v>10.01</v>
      </c>
      <c r="H102" s="13" t="n">
        <v>106</v>
      </c>
      <c r="I102" s="16" t="n">
        <v>0.28</v>
      </c>
      <c r="J102" s="16" t="n">
        <v>0.18</v>
      </c>
      <c r="K102" s="16" t="n">
        <v>0.35</v>
      </c>
      <c r="L102" s="16" t="n">
        <v>0.19</v>
      </c>
      <c r="M102" s="17" t="n">
        <f aca="false">(I102*Brief!$B$19+J102*Brief!$B$20+K102*Brief!$B$21+L102*Brief!$B$22)/0.25</f>
        <v>0.998</v>
      </c>
      <c r="N102" s="18" t="n">
        <f aca="false">AVERAGEIF($B$2:$B$132,B102,$G$2:$G$132)</f>
        <v>10.592380952381</v>
      </c>
      <c r="O102" s="17" t="n">
        <f aca="false">(H102/100)*M102/(G102/N102)</f>
        <v>1.11942736882166</v>
      </c>
      <c r="P102" s="19" t="n">
        <f aca="false">COUNTIFS($B$2:$B$132,B102,$O$2:$O$132,"&gt;"&amp;O102)+1</f>
        <v>27</v>
      </c>
    </row>
    <row r="103" customFormat="false" ht="15" hidden="false" customHeight="false" outlineLevel="0" collapsed="false">
      <c r="A103" s="13" t="s">
        <v>159</v>
      </c>
      <c r="B103" s="13" t="s">
        <v>17</v>
      </c>
      <c r="C103" s="13" t="s">
        <v>55</v>
      </c>
      <c r="D103" s="13" t="s">
        <v>56</v>
      </c>
      <c r="E103" s="14" t="n">
        <v>21</v>
      </c>
      <c r="F103" s="14" t="n">
        <v>37000</v>
      </c>
      <c r="G103" s="15" t="n">
        <v>8.56</v>
      </c>
      <c r="H103" s="13" t="n">
        <v>112</v>
      </c>
      <c r="I103" s="16" t="n">
        <v>0.33</v>
      </c>
      <c r="J103" s="16" t="n">
        <v>0.17</v>
      </c>
      <c r="K103" s="16" t="n">
        <v>0.33</v>
      </c>
      <c r="L103" s="16" t="n">
        <v>0.17</v>
      </c>
      <c r="M103" s="17" t="n">
        <f aca="false">(I103*Brief!$B$19+J103*Brief!$B$20+K103*Brief!$B$21+L103*Brief!$B$22)/0.25</f>
        <v>0.968</v>
      </c>
      <c r="N103" s="18" t="n">
        <f aca="false">AVERAGEIF($B$2:$B$132,B103,$G$2:$G$132)</f>
        <v>10.592380952381</v>
      </c>
      <c r="O103" s="17" t="n">
        <f aca="false">(H103/100)*M103/(G103/N103)</f>
        <v>1.34156959501558</v>
      </c>
      <c r="P103" s="19" t="n">
        <f aca="false">COUNTIFS($B$2:$B$132,B103,$O$2:$O$132,"&gt;"&amp;O103)+1</f>
        <v>14</v>
      </c>
    </row>
    <row r="104" customFormat="false" ht="15" hidden="false" customHeight="false" outlineLevel="0" collapsed="false">
      <c r="A104" s="13" t="s">
        <v>160</v>
      </c>
      <c r="B104" s="13" t="s">
        <v>17</v>
      </c>
      <c r="C104" s="13" t="s">
        <v>55</v>
      </c>
      <c r="D104" s="13" t="s">
        <v>56</v>
      </c>
      <c r="E104" s="14" t="n">
        <v>13</v>
      </c>
      <c r="F104" s="14" t="n">
        <v>33000</v>
      </c>
      <c r="G104" s="15" t="n">
        <v>10.19</v>
      </c>
      <c r="H104" s="13" t="n">
        <v>114</v>
      </c>
      <c r="I104" s="16" t="n">
        <v>0.33</v>
      </c>
      <c r="J104" s="16" t="n">
        <v>0.17</v>
      </c>
      <c r="K104" s="16" t="n">
        <v>0.36</v>
      </c>
      <c r="L104" s="16" t="n">
        <v>0.15</v>
      </c>
      <c r="M104" s="17" t="n">
        <f aca="false">(I104*Brief!$B$19+J104*Brief!$B$20+K104*Brief!$B$21+L104*Brief!$B$22)/0.25</f>
        <v>0.976</v>
      </c>
      <c r="N104" s="18" t="n">
        <f aca="false">AVERAGEIF($B$2:$B$132,B104,$G$2:$G$132)</f>
        <v>10.592380952381</v>
      </c>
      <c r="O104" s="17" t="n">
        <f aca="false">(H104/100)*M104/(G104/N104)</f>
        <v>1.15657573531473</v>
      </c>
      <c r="P104" s="19" t="n">
        <f aca="false">COUNTIFS($B$2:$B$132,B104,$O$2:$O$132,"&gt;"&amp;O104)+1</f>
        <v>24</v>
      </c>
    </row>
    <row r="105" customFormat="false" ht="15" hidden="false" customHeight="false" outlineLevel="0" collapsed="false">
      <c r="A105" s="13" t="s">
        <v>161</v>
      </c>
      <c r="B105" s="13" t="s">
        <v>17</v>
      </c>
      <c r="C105" s="13" t="s">
        <v>55</v>
      </c>
      <c r="D105" s="13" t="s">
        <v>56</v>
      </c>
      <c r="E105" s="14" t="n">
        <v>25</v>
      </c>
      <c r="F105" s="14" t="n">
        <v>39000</v>
      </c>
      <c r="G105" s="15" t="n">
        <v>11.15</v>
      </c>
      <c r="H105" s="13" t="n">
        <v>109</v>
      </c>
      <c r="I105" s="16" t="n">
        <v>0.29</v>
      </c>
      <c r="J105" s="16" t="n">
        <v>0.17</v>
      </c>
      <c r="K105" s="16" t="n">
        <v>0.35</v>
      </c>
      <c r="L105" s="16" t="n">
        <v>0.19</v>
      </c>
      <c r="M105" s="17" t="n">
        <f aca="false">(I105*Brief!$B$19+J105*Brief!$B$20+K105*Brief!$B$21+L105*Brief!$B$22)/0.25</f>
        <v>0.996</v>
      </c>
      <c r="N105" s="18" t="n">
        <f aca="false">AVERAGEIF($B$2:$B$132,B105,$G$2:$G$132)</f>
        <v>10.592380952381</v>
      </c>
      <c r="O105" s="17" t="n">
        <f aca="false">(H105/100)*M105/(G105/N105)</f>
        <v>1.03134640871236</v>
      </c>
      <c r="P105" s="19" t="n">
        <f aca="false">COUNTIFS($B$2:$B$132,B105,$O$2:$O$132,"&gt;"&amp;O105)+1</f>
        <v>31</v>
      </c>
    </row>
    <row r="106" customFormat="false" ht="15" hidden="false" customHeight="false" outlineLevel="0" collapsed="false">
      <c r="A106" s="13" t="s">
        <v>162</v>
      </c>
      <c r="B106" s="13" t="s">
        <v>17</v>
      </c>
      <c r="C106" s="13" t="s">
        <v>65</v>
      </c>
      <c r="D106" s="13" t="s">
        <v>66</v>
      </c>
      <c r="E106" s="14" t="n">
        <v>12</v>
      </c>
      <c r="F106" s="14" t="n">
        <v>97000</v>
      </c>
      <c r="G106" s="15" t="n">
        <v>10.21</v>
      </c>
      <c r="H106" s="13" t="n">
        <v>148</v>
      </c>
      <c r="I106" s="16" t="n">
        <v>0.16</v>
      </c>
      <c r="J106" s="16" t="n">
        <v>0.34</v>
      </c>
      <c r="K106" s="16" t="n">
        <v>0.28</v>
      </c>
      <c r="L106" s="16" t="n">
        <v>0.22</v>
      </c>
      <c r="M106" s="17" t="n">
        <f aca="false">(I106*Brief!$B$19+J106*Brief!$B$20+K106*Brief!$B$21+L106*Brief!$B$22)/0.25</f>
        <v>1.012</v>
      </c>
      <c r="N106" s="18" t="n">
        <f aca="false">AVERAGEIF($B$2:$B$132,B106,$G$2:$G$132)</f>
        <v>10.592380952381</v>
      </c>
      <c r="O106" s="17" t="n">
        <f aca="false">(H106/100)*M106/(G106/N106)</f>
        <v>1.55385352548855</v>
      </c>
      <c r="P106" s="19" t="n">
        <f aca="false">COUNTIFS($B$2:$B$132,B106,$O$2:$O$132,"&gt;"&amp;O106)+1</f>
        <v>6</v>
      </c>
    </row>
    <row r="107" customFormat="false" ht="15" hidden="false" customHeight="false" outlineLevel="0" collapsed="false">
      <c r="A107" s="13" t="s">
        <v>163</v>
      </c>
      <c r="B107" s="13" t="s">
        <v>17</v>
      </c>
      <c r="C107" s="13" t="s">
        <v>65</v>
      </c>
      <c r="D107" s="13" t="s">
        <v>66</v>
      </c>
      <c r="E107" s="14" t="n">
        <v>5</v>
      </c>
      <c r="F107" s="14" t="n">
        <v>43000</v>
      </c>
      <c r="G107" s="15" t="n">
        <v>10.03</v>
      </c>
      <c r="H107" s="13" t="n">
        <v>151</v>
      </c>
      <c r="I107" s="16" t="n">
        <v>0.14</v>
      </c>
      <c r="J107" s="16" t="n">
        <v>0.3</v>
      </c>
      <c r="K107" s="16" t="n">
        <v>0.3</v>
      </c>
      <c r="L107" s="16" t="n">
        <v>0.27</v>
      </c>
      <c r="M107" s="17" t="n">
        <f aca="false">(I107*Brief!$B$19+J107*Brief!$B$20+K107*Brief!$B$21+L107*Brief!$B$22)/0.25</f>
        <v>1.062</v>
      </c>
      <c r="N107" s="18" t="n">
        <f aca="false">AVERAGEIF($B$2:$B$132,B107,$G$2:$G$132)</f>
        <v>10.592380952381</v>
      </c>
      <c r="O107" s="17" t="n">
        <f aca="false">(H107/100)*M107/(G107/N107)</f>
        <v>1.69353478991597</v>
      </c>
      <c r="P107" s="19" t="n">
        <f aca="false">COUNTIFS($B$2:$B$132,B107,$O$2:$O$132,"&gt;"&amp;O107)+1</f>
        <v>3</v>
      </c>
    </row>
    <row r="108" customFormat="false" ht="15" hidden="false" customHeight="false" outlineLevel="0" collapsed="false">
      <c r="A108" s="13" t="s">
        <v>164</v>
      </c>
      <c r="B108" s="13" t="s">
        <v>17</v>
      </c>
      <c r="C108" s="13" t="s">
        <v>65</v>
      </c>
      <c r="D108" s="13" t="s">
        <v>66</v>
      </c>
      <c r="E108" s="14" t="n">
        <v>26</v>
      </c>
      <c r="F108" s="14" t="n">
        <v>40000</v>
      </c>
      <c r="G108" s="15" t="n">
        <v>13.55</v>
      </c>
      <c r="H108" s="13" t="n">
        <v>145</v>
      </c>
      <c r="I108" s="16" t="n">
        <v>0.18</v>
      </c>
      <c r="J108" s="16" t="n">
        <v>0.34</v>
      </c>
      <c r="K108" s="16" t="n">
        <v>0.28</v>
      </c>
      <c r="L108" s="16" t="n">
        <v>0.2</v>
      </c>
      <c r="M108" s="17" t="n">
        <f aca="false">(I108*Brief!$B$19+J108*Brief!$B$20+K108*Brief!$B$21+L108*Brief!$B$22)/0.25</f>
        <v>0.996</v>
      </c>
      <c r="N108" s="18" t="n">
        <f aca="false">AVERAGEIF($B$2:$B$132,B108,$G$2:$G$132)</f>
        <v>10.592380952381</v>
      </c>
      <c r="O108" s="17" t="n">
        <f aca="false">(H108/100)*M108/(G108/N108)</f>
        <v>1.12896801265156</v>
      </c>
      <c r="P108" s="19" t="n">
        <f aca="false">COUNTIFS($B$2:$B$132,B108,$O$2:$O$132,"&gt;"&amp;O108)+1</f>
        <v>26</v>
      </c>
    </row>
    <row r="109" customFormat="false" ht="15" hidden="false" customHeight="false" outlineLevel="0" collapsed="false">
      <c r="A109" s="13" t="s">
        <v>165</v>
      </c>
      <c r="B109" s="13" t="s">
        <v>17</v>
      </c>
      <c r="C109" s="13" t="s">
        <v>65</v>
      </c>
      <c r="D109" s="13" t="s">
        <v>66</v>
      </c>
      <c r="E109" s="14" t="n">
        <v>26</v>
      </c>
      <c r="F109" s="14" t="n">
        <v>114000</v>
      </c>
      <c r="G109" s="15" t="n">
        <v>11.66</v>
      </c>
      <c r="H109" s="13" t="n">
        <v>159</v>
      </c>
      <c r="I109" s="16" t="n">
        <v>0.17</v>
      </c>
      <c r="J109" s="16" t="n">
        <v>0.3</v>
      </c>
      <c r="K109" s="16" t="n">
        <v>0.28</v>
      </c>
      <c r="L109" s="16" t="n">
        <v>0.26</v>
      </c>
      <c r="M109" s="17" t="n">
        <f aca="false">(I109*Brief!$B$19+J109*Brief!$B$20+K109*Brief!$B$21+L109*Brief!$B$22)/0.25</f>
        <v>1.042</v>
      </c>
      <c r="N109" s="18" t="n">
        <f aca="false">AVERAGEIF($B$2:$B$132,B109,$G$2:$G$132)</f>
        <v>10.592380952381</v>
      </c>
      <c r="O109" s="17" t="n">
        <f aca="false">(H109/100)*M109/(G109/N109)</f>
        <v>1.50508103896104</v>
      </c>
      <c r="P109" s="19" t="n">
        <f aca="false">COUNTIFS($B$2:$B$132,B109,$O$2:$O$132,"&gt;"&amp;O109)+1</f>
        <v>9</v>
      </c>
    </row>
    <row r="110" customFormat="false" ht="15" hidden="false" customHeight="false" outlineLevel="0" collapsed="false">
      <c r="A110" s="13" t="s">
        <v>166</v>
      </c>
      <c r="B110" s="13" t="s">
        <v>17</v>
      </c>
      <c r="C110" s="13" t="s">
        <v>65</v>
      </c>
      <c r="D110" s="13" t="s">
        <v>66</v>
      </c>
      <c r="E110" s="14" t="n">
        <v>25</v>
      </c>
      <c r="F110" s="14" t="n">
        <v>104000</v>
      </c>
      <c r="G110" s="15" t="n">
        <v>12.35</v>
      </c>
      <c r="H110" s="13" t="n">
        <v>138</v>
      </c>
      <c r="I110" s="16" t="n">
        <v>0.19</v>
      </c>
      <c r="J110" s="16" t="n">
        <v>0.31</v>
      </c>
      <c r="K110" s="16" t="n">
        <v>0.25</v>
      </c>
      <c r="L110" s="16" t="n">
        <v>0.25</v>
      </c>
      <c r="M110" s="17" t="n">
        <f aca="false">(I110*Brief!$B$19+J110*Brief!$B$20+K110*Brief!$B$21+L110*Brief!$B$22)/0.25</f>
        <v>1.012</v>
      </c>
      <c r="N110" s="18" t="n">
        <f aca="false">AVERAGEIF($B$2:$B$132,B110,$G$2:$G$132)</f>
        <v>10.592380952381</v>
      </c>
      <c r="O110" s="17" t="n">
        <f aca="false">(H110/100)*M110/(G110/N110)</f>
        <v>1.19780530711394</v>
      </c>
      <c r="P110" s="19" t="n">
        <f aca="false">COUNTIFS($B$2:$B$132,B110,$O$2:$O$132,"&gt;"&amp;O110)+1</f>
        <v>22</v>
      </c>
    </row>
    <row r="111" customFormat="false" ht="15" hidden="false" customHeight="false" outlineLevel="0" collapsed="false">
      <c r="A111" s="13" t="s">
        <v>167</v>
      </c>
      <c r="B111" s="13" t="s">
        <v>17</v>
      </c>
      <c r="C111" s="13" t="s">
        <v>65</v>
      </c>
      <c r="D111" s="13" t="s">
        <v>66</v>
      </c>
      <c r="E111" s="14" t="n">
        <v>11</v>
      </c>
      <c r="F111" s="14" t="n">
        <v>68000</v>
      </c>
      <c r="G111" s="15" t="n">
        <v>9.59</v>
      </c>
      <c r="H111" s="13" t="n">
        <v>151</v>
      </c>
      <c r="I111" s="16" t="n">
        <v>0.16</v>
      </c>
      <c r="J111" s="16" t="n">
        <v>0.3</v>
      </c>
      <c r="K111" s="16" t="n">
        <v>0.3</v>
      </c>
      <c r="L111" s="16" t="n">
        <v>0.24</v>
      </c>
      <c r="M111" s="17" t="n">
        <f aca="false">(I111*Brief!$B$19+J111*Brief!$B$20+K111*Brief!$B$21+L111*Brief!$B$22)/0.25</f>
        <v>1.032</v>
      </c>
      <c r="N111" s="18" t="n">
        <f aca="false">AVERAGEIF($B$2:$B$132,B111,$G$2:$G$132)</f>
        <v>10.592380952381</v>
      </c>
      <c r="O111" s="17" t="n">
        <f aca="false">(H111/100)*M111/(G111/N111)</f>
        <v>1.72120115596604</v>
      </c>
      <c r="P111" s="19" t="n">
        <f aca="false">COUNTIFS($B$2:$B$132,B111,$O$2:$O$132,"&gt;"&amp;O111)+1</f>
        <v>1</v>
      </c>
    </row>
    <row r="112" customFormat="false" ht="15" hidden="false" customHeight="false" outlineLevel="0" collapsed="false">
      <c r="A112" s="13" t="s">
        <v>168</v>
      </c>
      <c r="B112" s="13" t="s">
        <v>17</v>
      </c>
      <c r="C112" s="13" t="s">
        <v>65</v>
      </c>
      <c r="D112" s="13" t="s">
        <v>66</v>
      </c>
      <c r="E112" s="14" t="n">
        <v>9</v>
      </c>
      <c r="F112" s="14" t="n">
        <v>111000</v>
      </c>
      <c r="G112" s="15" t="n">
        <v>12.32</v>
      </c>
      <c r="H112" s="13" t="n">
        <v>137</v>
      </c>
      <c r="I112" s="16" t="n">
        <v>0.1</v>
      </c>
      <c r="J112" s="16" t="n">
        <v>0.32</v>
      </c>
      <c r="K112" s="16" t="n">
        <v>0.32</v>
      </c>
      <c r="L112" s="16" t="n">
        <v>0.26</v>
      </c>
      <c r="M112" s="17" t="n">
        <f aca="false">(I112*Brief!$B$19+J112*Brief!$B$20+K112*Brief!$B$21+L112*Brief!$B$22)/0.25</f>
        <v>1.064</v>
      </c>
      <c r="N112" s="18" t="n">
        <f aca="false">AVERAGEIF($B$2:$B$132,B112,$G$2:$G$132)</f>
        <v>10.592380952381</v>
      </c>
      <c r="O112" s="17" t="n">
        <f aca="false">(H112/100)*M112/(G112/N112)</f>
        <v>1.25327125541126</v>
      </c>
      <c r="P112" s="19" t="n">
        <f aca="false">COUNTIFS($B$2:$B$132,B112,$O$2:$O$132,"&gt;"&amp;O112)+1</f>
        <v>19</v>
      </c>
    </row>
    <row r="113" customFormat="false" ht="15" hidden="false" customHeight="false" outlineLevel="0" collapsed="false">
      <c r="A113" s="13" t="s">
        <v>169</v>
      </c>
      <c r="B113" s="13" t="s">
        <v>17</v>
      </c>
      <c r="C113" s="13" t="s">
        <v>74</v>
      </c>
      <c r="D113" s="13" t="s">
        <v>75</v>
      </c>
      <c r="E113" s="14" t="n">
        <v>8</v>
      </c>
      <c r="F113" s="14" t="n">
        <v>30000</v>
      </c>
      <c r="G113" s="15" t="n">
        <v>11.49</v>
      </c>
      <c r="H113" s="13" t="n">
        <v>104</v>
      </c>
      <c r="I113" s="16" t="n">
        <v>0.41</v>
      </c>
      <c r="J113" s="16" t="n">
        <v>0.37</v>
      </c>
      <c r="K113" s="16" t="n">
        <v>0.22</v>
      </c>
      <c r="L113" s="16" t="n">
        <v>0</v>
      </c>
      <c r="M113" s="17" t="n">
        <f aca="false">(I113*Brief!$B$19+J113*Brief!$B$20+K113*Brief!$B$21+L113*Brief!$B$22)/0.25</f>
        <v>0.806</v>
      </c>
      <c r="N113" s="18" t="n">
        <f aca="false">AVERAGEIF($B$2:$B$132,B113,$G$2:$G$132)</f>
        <v>10.592380952381</v>
      </c>
      <c r="O113" s="17" t="n">
        <f aca="false">(H113/100)*M113/(G113/N113)</f>
        <v>0.772755214057773</v>
      </c>
      <c r="P113" s="19" t="n">
        <f aca="false">COUNTIFS($B$2:$B$132,B113,$O$2:$O$132,"&gt;"&amp;O113)+1</f>
        <v>37</v>
      </c>
    </row>
    <row r="114" customFormat="false" ht="15" hidden="false" customHeight="false" outlineLevel="0" collapsed="false">
      <c r="A114" s="13" t="s">
        <v>170</v>
      </c>
      <c r="B114" s="13" t="s">
        <v>17</v>
      </c>
      <c r="C114" s="13" t="s">
        <v>74</v>
      </c>
      <c r="D114" s="13" t="s">
        <v>75</v>
      </c>
      <c r="E114" s="14" t="n">
        <v>7</v>
      </c>
      <c r="F114" s="14" t="n">
        <v>57000</v>
      </c>
      <c r="G114" s="15" t="n">
        <v>14.94</v>
      </c>
      <c r="H114" s="13" t="n">
        <v>103</v>
      </c>
      <c r="I114" s="16" t="n">
        <v>0.42</v>
      </c>
      <c r="J114" s="16" t="n">
        <v>0.39</v>
      </c>
      <c r="K114" s="16" t="n">
        <v>0.19</v>
      </c>
      <c r="L114" s="16" t="n">
        <v>0</v>
      </c>
      <c r="M114" s="17" t="n">
        <f aca="false">(I114*Brief!$B$19+J114*Brief!$B$20+K114*Brief!$B$21+L114*Brief!$B$22)/0.25</f>
        <v>0.792</v>
      </c>
      <c r="N114" s="18" t="n">
        <f aca="false">AVERAGEIF($B$2:$B$132,B114,$G$2:$G$132)</f>
        <v>10.592380952381</v>
      </c>
      <c r="O114" s="17" t="n">
        <f aca="false">(H114/100)*M114/(G114/N114)</f>
        <v>0.578369523809524</v>
      </c>
      <c r="P114" s="19" t="n">
        <f aca="false">COUNTIFS($B$2:$B$132,B114,$O$2:$O$132,"&gt;"&amp;O114)+1</f>
        <v>41</v>
      </c>
    </row>
    <row r="115" customFormat="false" ht="15" hidden="false" customHeight="false" outlineLevel="0" collapsed="false">
      <c r="A115" s="13" t="s">
        <v>171</v>
      </c>
      <c r="B115" s="13" t="s">
        <v>17</v>
      </c>
      <c r="C115" s="13" t="s">
        <v>74</v>
      </c>
      <c r="D115" s="13" t="s">
        <v>75</v>
      </c>
      <c r="E115" s="14" t="n">
        <v>16</v>
      </c>
      <c r="F115" s="14" t="n">
        <v>72000</v>
      </c>
      <c r="G115" s="15" t="n">
        <v>11.5</v>
      </c>
      <c r="H115" s="13" t="n">
        <v>99</v>
      </c>
      <c r="I115" s="16" t="n">
        <v>0.42</v>
      </c>
      <c r="J115" s="16" t="n">
        <v>0.4</v>
      </c>
      <c r="K115" s="16" t="n">
        <v>0.17</v>
      </c>
      <c r="L115" s="16" t="n">
        <v>0</v>
      </c>
      <c r="M115" s="17" t="n">
        <f aca="false">(I115*Brief!$B$19+J115*Brief!$B$20+K115*Brief!$B$21+L115*Brief!$B$22)/0.25</f>
        <v>0.776</v>
      </c>
      <c r="N115" s="18" t="n">
        <f aca="false">AVERAGEIF($B$2:$B$132,B115,$G$2:$G$132)</f>
        <v>10.592380952381</v>
      </c>
      <c r="O115" s="17" t="n">
        <f aca="false">(H115/100)*M115/(G115/N115)</f>
        <v>0.70760789068323</v>
      </c>
      <c r="P115" s="19" t="n">
        <f aca="false">COUNTIFS($B$2:$B$132,B115,$O$2:$O$132,"&gt;"&amp;O115)+1</f>
        <v>38</v>
      </c>
    </row>
    <row r="116" customFormat="false" ht="15" hidden="false" customHeight="false" outlineLevel="0" collapsed="false">
      <c r="A116" s="13" t="s">
        <v>172</v>
      </c>
      <c r="B116" s="13" t="s">
        <v>17</v>
      </c>
      <c r="C116" s="13" t="s">
        <v>74</v>
      </c>
      <c r="D116" s="13" t="s">
        <v>75</v>
      </c>
      <c r="E116" s="14" t="n">
        <v>26</v>
      </c>
      <c r="F116" s="14" t="n">
        <v>58000</v>
      </c>
      <c r="G116" s="15" t="n">
        <v>13.66</v>
      </c>
      <c r="H116" s="13" t="n">
        <v>99</v>
      </c>
      <c r="I116" s="16" t="n">
        <v>0.39</v>
      </c>
      <c r="J116" s="16" t="n">
        <v>0.4</v>
      </c>
      <c r="K116" s="16" t="n">
        <v>0.21</v>
      </c>
      <c r="L116" s="16" t="n">
        <v>0</v>
      </c>
      <c r="M116" s="17" t="n">
        <f aca="false">(I116*Brief!$B$19+J116*Brief!$B$20+K116*Brief!$B$21+L116*Brief!$B$22)/0.25</f>
        <v>0.806</v>
      </c>
      <c r="N116" s="18" t="n">
        <f aca="false">AVERAGEIF($B$2:$B$132,B116,$G$2:$G$132)</f>
        <v>10.592380952381</v>
      </c>
      <c r="O116" s="17" t="n">
        <f aca="false">(H116/100)*M116/(G116/N116)</f>
        <v>0.618747032001673</v>
      </c>
      <c r="P116" s="19" t="n">
        <f aca="false">COUNTIFS($B$2:$B$132,B116,$O$2:$O$132,"&gt;"&amp;O116)+1</f>
        <v>40</v>
      </c>
    </row>
    <row r="117" customFormat="false" ht="15" hidden="false" customHeight="false" outlineLevel="0" collapsed="false">
      <c r="A117" s="13" t="s">
        <v>173</v>
      </c>
      <c r="B117" s="13" t="s">
        <v>17</v>
      </c>
      <c r="C117" s="13" t="s">
        <v>74</v>
      </c>
      <c r="D117" s="13" t="s">
        <v>75</v>
      </c>
      <c r="E117" s="14" t="n">
        <v>29</v>
      </c>
      <c r="F117" s="14" t="n">
        <v>51000</v>
      </c>
      <c r="G117" s="15" t="n">
        <v>14.33</v>
      </c>
      <c r="H117" s="13" t="n">
        <v>104</v>
      </c>
      <c r="I117" s="16" t="n">
        <v>0.38</v>
      </c>
      <c r="J117" s="16" t="n">
        <v>0.41</v>
      </c>
      <c r="K117" s="16" t="n">
        <v>0.22</v>
      </c>
      <c r="L117" s="16" t="n">
        <v>0</v>
      </c>
      <c r="M117" s="17" t="n">
        <f aca="false">(I117*Brief!$B$19+J117*Brief!$B$20+K117*Brief!$B$21+L117*Brief!$B$22)/0.25</f>
        <v>0.82</v>
      </c>
      <c r="N117" s="18" t="n">
        <f aca="false">AVERAGEIF($B$2:$B$132,B117,$G$2:$G$132)</f>
        <v>10.592380952381</v>
      </c>
      <c r="O117" s="17" t="n">
        <f aca="false">(H117/100)*M117/(G117/N117)</f>
        <v>0.63036863057854</v>
      </c>
      <c r="P117" s="19" t="n">
        <f aca="false">COUNTIFS($B$2:$B$132,B117,$O$2:$O$132,"&gt;"&amp;O117)+1</f>
        <v>39</v>
      </c>
    </row>
    <row r="118" customFormat="false" ht="15" hidden="false" customHeight="false" outlineLevel="0" collapsed="false">
      <c r="A118" s="13" t="s">
        <v>174</v>
      </c>
      <c r="B118" s="13" t="s">
        <v>17</v>
      </c>
      <c r="C118" s="13" t="s">
        <v>74</v>
      </c>
      <c r="D118" s="13" t="s">
        <v>75</v>
      </c>
      <c r="E118" s="14" t="n">
        <v>37</v>
      </c>
      <c r="F118" s="14" t="n">
        <v>74000</v>
      </c>
      <c r="G118" s="15" t="n">
        <v>13.65</v>
      </c>
      <c r="H118" s="13" t="n">
        <v>91</v>
      </c>
      <c r="I118" s="16" t="n">
        <v>0.4</v>
      </c>
      <c r="J118" s="16" t="n">
        <v>0.39</v>
      </c>
      <c r="K118" s="16" t="n">
        <v>0.21</v>
      </c>
      <c r="L118" s="16" t="n">
        <v>0</v>
      </c>
      <c r="M118" s="17" t="n">
        <f aca="false">(I118*Brief!$B$19+J118*Brief!$B$20+K118*Brief!$B$21+L118*Brief!$B$22)/0.25</f>
        <v>0.804</v>
      </c>
      <c r="N118" s="18" t="n">
        <f aca="false">AVERAGEIF($B$2:$B$132,B118,$G$2:$G$132)</f>
        <v>10.592380952381</v>
      </c>
      <c r="O118" s="17" t="n">
        <f aca="false">(H118/100)*M118/(G118/N118)</f>
        <v>0.567751619047619</v>
      </c>
      <c r="P118" s="19" t="n">
        <f aca="false">COUNTIFS($B$2:$B$132,B118,$O$2:$O$132,"&gt;"&amp;O118)+1</f>
        <v>42</v>
      </c>
    </row>
    <row r="119" customFormat="false" ht="15" hidden="false" customHeight="false" outlineLevel="0" collapsed="false">
      <c r="A119" s="13" t="s">
        <v>175</v>
      </c>
      <c r="B119" s="13" t="s">
        <v>17</v>
      </c>
      <c r="C119" s="13" t="s">
        <v>83</v>
      </c>
      <c r="D119" s="13" t="s">
        <v>84</v>
      </c>
      <c r="E119" s="14" t="n">
        <v>28</v>
      </c>
      <c r="F119" s="14" t="n">
        <v>136000</v>
      </c>
      <c r="G119" s="15" t="n">
        <v>9.25</v>
      </c>
      <c r="H119" s="13" t="n">
        <v>108</v>
      </c>
      <c r="I119" s="16" t="n">
        <v>0.31</v>
      </c>
      <c r="J119" s="16" t="n">
        <v>0.17</v>
      </c>
      <c r="K119" s="16" t="n">
        <v>0.28</v>
      </c>
      <c r="L119" s="16" t="n">
        <v>0.24</v>
      </c>
      <c r="M119" s="17" t="n">
        <f aca="false">(I119*Brief!$B$19+J119*Brief!$B$20+K119*Brief!$B$21+L119*Brief!$B$22)/0.25</f>
        <v>0.994</v>
      </c>
      <c r="N119" s="18" t="n">
        <f aca="false">AVERAGEIF($B$2:$B$132,B119,$G$2:$G$132)</f>
        <v>10.592380952381</v>
      </c>
      <c r="O119" s="17" t="n">
        <f aca="false">(H119/100)*M119/(G119/N119)</f>
        <v>1.22931165405405</v>
      </c>
      <c r="P119" s="19" t="n">
        <f aca="false">COUNTIFS($B$2:$B$132,B119,$O$2:$O$132,"&gt;"&amp;O119)+1</f>
        <v>21</v>
      </c>
    </row>
    <row r="120" customFormat="false" ht="15" hidden="false" customHeight="false" outlineLevel="0" collapsed="false">
      <c r="A120" s="13" t="s">
        <v>176</v>
      </c>
      <c r="B120" s="13" t="s">
        <v>17</v>
      </c>
      <c r="C120" s="13" t="s">
        <v>83</v>
      </c>
      <c r="D120" s="13" t="s">
        <v>84</v>
      </c>
      <c r="E120" s="14" t="n">
        <v>11</v>
      </c>
      <c r="F120" s="14" t="n">
        <v>102000</v>
      </c>
      <c r="G120" s="15" t="n">
        <v>8.76</v>
      </c>
      <c r="H120" s="13" t="n">
        <v>114</v>
      </c>
      <c r="I120" s="16" t="n">
        <v>0.27</v>
      </c>
      <c r="J120" s="16" t="n">
        <v>0.16</v>
      </c>
      <c r="K120" s="16" t="n">
        <v>0.34</v>
      </c>
      <c r="L120" s="16" t="n">
        <v>0.23</v>
      </c>
      <c r="M120" s="17" t="n">
        <f aca="false">(I120*Brief!$B$19+J120*Brief!$B$20+K120*Brief!$B$21+L120*Brief!$B$22)/0.25</f>
        <v>1.02</v>
      </c>
      <c r="N120" s="18" t="n">
        <f aca="false">AVERAGEIF($B$2:$B$132,B120,$G$2:$G$132)</f>
        <v>10.592380952381</v>
      </c>
      <c r="O120" s="17" t="n">
        <f aca="false">(H120/100)*M120/(G120/N120)</f>
        <v>1.40602974559687</v>
      </c>
      <c r="P120" s="19" t="n">
        <f aca="false">COUNTIFS($B$2:$B$132,B120,$O$2:$O$132,"&gt;"&amp;O120)+1</f>
        <v>12</v>
      </c>
    </row>
    <row r="121" customFormat="false" ht="15" hidden="false" customHeight="false" outlineLevel="0" collapsed="false">
      <c r="A121" s="13" t="s">
        <v>177</v>
      </c>
      <c r="B121" s="13" t="s">
        <v>17</v>
      </c>
      <c r="C121" s="13" t="s">
        <v>83</v>
      </c>
      <c r="D121" s="13" t="s">
        <v>84</v>
      </c>
      <c r="E121" s="14" t="n">
        <v>30</v>
      </c>
      <c r="F121" s="14" t="n">
        <v>137000</v>
      </c>
      <c r="G121" s="15" t="n">
        <v>8.92</v>
      </c>
      <c r="H121" s="13" t="n">
        <v>112</v>
      </c>
      <c r="I121" s="16" t="n">
        <v>0.31</v>
      </c>
      <c r="J121" s="16" t="n">
        <v>0.24</v>
      </c>
      <c r="K121" s="16" t="n">
        <v>0.26</v>
      </c>
      <c r="L121" s="16" t="n">
        <v>0.19</v>
      </c>
      <c r="M121" s="17" t="n">
        <f aca="false">(I121*Brief!$B$19+J121*Brief!$B$20+K121*Brief!$B$21+L121*Brief!$B$22)/0.25</f>
        <v>0.956</v>
      </c>
      <c r="N121" s="18" t="n">
        <f aca="false">AVERAGEIF($B$2:$B$132,B121,$G$2:$G$132)</f>
        <v>10.592380952381</v>
      </c>
      <c r="O121" s="17" t="n">
        <f aca="false">(H121/100)*M121/(G121/N121)</f>
        <v>1.27146571001495</v>
      </c>
      <c r="P121" s="19" t="n">
        <f aca="false">COUNTIFS($B$2:$B$132,B121,$O$2:$O$132,"&gt;"&amp;O121)+1</f>
        <v>18</v>
      </c>
    </row>
    <row r="122" customFormat="false" ht="15" hidden="false" customHeight="false" outlineLevel="0" collapsed="false">
      <c r="A122" s="13" t="s">
        <v>178</v>
      </c>
      <c r="B122" s="13" t="s">
        <v>17</v>
      </c>
      <c r="C122" s="13" t="s">
        <v>83</v>
      </c>
      <c r="D122" s="13" t="s">
        <v>84</v>
      </c>
      <c r="E122" s="14" t="n">
        <v>7</v>
      </c>
      <c r="F122" s="14" t="n">
        <v>88000</v>
      </c>
      <c r="G122" s="15" t="n">
        <v>8.7</v>
      </c>
      <c r="H122" s="13" t="n">
        <v>118</v>
      </c>
      <c r="I122" s="16" t="n">
        <v>0.3</v>
      </c>
      <c r="J122" s="16" t="n">
        <v>0.22</v>
      </c>
      <c r="K122" s="16" t="n">
        <v>0.25</v>
      </c>
      <c r="L122" s="16" t="n">
        <v>0.22</v>
      </c>
      <c r="M122" s="17" t="n">
        <f aca="false">(I122*Brief!$B$19+J122*Brief!$B$20+K122*Brief!$B$21+L122*Brief!$B$22)/0.25</f>
        <v>0.964</v>
      </c>
      <c r="N122" s="18" t="n">
        <f aca="false">AVERAGEIF($B$2:$B$132,B122,$G$2:$G$132)</f>
        <v>10.592380952381</v>
      </c>
      <c r="O122" s="17" t="n">
        <f aca="false">(H122/100)*M122/(G122/N122)</f>
        <v>1.38494772194855</v>
      </c>
      <c r="P122" s="19" t="n">
        <f aca="false">COUNTIFS($B$2:$B$132,B122,$O$2:$O$132,"&gt;"&amp;O122)+1</f>
        <v>13</v>
      </c>
    </row>
    <row r="123" customFormat="false" ht="15" hidden="false" customHeight="false" outlineLevel="0" collapsed="false">
      <c r="A123" s="13" t="s">
        <v>179</v>
      </c>
      <c r="B123" s="13" t="s">
        <v>17</v>
      </c>
      <c r="C123" s="13" t="s">
        <v>83</v>
      </c>
      <c r="D123" s="13" t="s">
        <v>84</v>
      </c>
      <c r="E123" s="14" t="n">
        <v>35</v>
      </c>
      <c r="F123" s="14" t="n">
        <v>91000</v>
      </c>
      <c r="G123" s="15" t="n">
        <v>8.37</v>
      </c>
      <c r="H123" s="13" t="n">
        <v>113</v>
      </c>
      <c r="I123" s="16" t="n">
        <v>0.27</v>
      </c>
      <c r="J123" s="16" t="n">
        <v>0.19</v>
      </c>
      <c r="K123" s="16" t="n">
        <v>0.35</v>
      </c>
      <c r="L123" s="16" t="n">
        <v>0.2</v>
      </c>
      <c r="M123" s="17" t="n">
        <f aca="false">(I123*Brief!$B$19+J123*Brief!$B$20+K123*Brief!$B$21+L123*Brief!$B$22)/0.25</f>
        <v>1.014</v>
      </c>
      <c r="N123" s="18" t="n">
        <f aca="false">AVERAGEIF($B$2:$B$132,B123,$G$2:$G$132)</f>
        <v>10.592380952381</v>
      </c>
      <c r="O123" s="17" t="n">
        <f aca="false">(H123/100)*M123/(G123/N123)</f>
        <v>1.45005519030551</v>
      </c>
      <c r="P123" s="19" t="n">
        <f aca="false">COUNTIFS($B$2:$B$132,B123,$O$2:$O$132,"&gt;"&amp;O123)+1</f>
        <v>11</v>
      </c>
    </row>
    <row r="124" customFormat="false" ht="15" hidden="false" customHeight="false" outlineLevel="0" collapsed="false">
      <c r="A124" s="13" t="s">
        <v>180</v>
      </c>
      <c r="B124" s="13" t="s">
        <v>17</v>
      </c>
      <c r="C124" s="13" t="s">
        <v>83</v>
      </c>
      <c r="D124" s="13" t="s">
        <v>84</v>
      </c>
      <c r="E124" s="14" t="n">
        <v>37</v>
      </c>
      <c r="F124" s="14" t="n">
        <v>63000</v>
      </c>
      <c r="G124" s="15" t="n">
        <v>7.11</v>
      </c>
      <c r="H124" s="13" t="n">
        <v>109</v>
      </c>
      <c r="I124" s="16" t="n">
        <v>0.28</v>
      </c>
      <c r="J124" s="16" t="n">
        <v>0.22</v>
      </c>
      <c r="K124" s="16" t="n">
        <v>0.29</v>
      </c>
      <c r="L124" s="16" t="n">
        <v>0.2</v>
      </c>
      <c r="M124" s="17" t="n">
        <f aca="false">(I124*Brief!$B$19+J124*Brief!$B$20+K124*Brief!$B$21+L124*Brief!$B$22)/0.25</f>
        <v>0.972</v>
      </c>
      <c r="N124" s="18" t="n">
        <f aca="false">AVERAGEIF($B$2:$B$132,B124,$G$2:$G$132)</f>
        <v>10.592380952381</v>
      </c>
      <c r="O124" s="17" t="n">
        <f aca="false">(H124/100)*M124/(G124/N124)</f>
        <v>1.57839884267631</v>
      </c>
      <c r="P124" s="19" t="n">
        <f aca="false">COUNTIFS($B$2:$B$132,B124,$O$2:$O$132,"&gt;"&amp;O124)+1</f>
        <v>4</v>
      </c>
    </row>
    <row r="125" customFormat="false" ht="15" hidden="false" customHeight="false" outlineLevel="0" collapsed="false">
      <c r="A125" s="13" t="s">
        <v>181</v>
      </c>
      <c r="B125" s="13" t="s">
        <v>17</v>
      </c>
      <c r="C125" s="13" t="s">
        <v>92</v>
      </c>
      <c r="D125" s="13" t="s">
        <v>93</v>
      </c>
      <c r="E125" s="14" t="n">
        <v>21</v>
      </c>
      <c r="F125" s="14" t="n">
        <v>186000</v>
      </c>
      <c r="G125" s="15" t="n">
        <v>9.61</v>
      </c>
      <c r="H125" s="13" t="n">
        <v>130</v>
      </c>
      <c r="I125" s="16" t="n">
        <v>0.05</v>
      </c>
      <c r="J125" s="16" t="n">
        <v>0.36</v>
      </c>
      <c r="K125" s="16" t="n">
        <v>0.25</v>
      </c>
      <c r="L125" s="16" t="n">
        <v>0.34</v>
      </c>
      <c r="M125" s="17" t="n">
        <f aca="false">(I125*Brief!$B$19+J125*Brief!$B$20+K125*Brief!$B$21+L125*Brief!$B$22)/0.25</f>
        <v>1.094</v>
      </c>
      <c r="N125" s="18" t="n">
        <f aca="false">AVERAGEIF($B$2:$B$132,B125,$G$2:$G$132)</f>
        <v>10.592380952381</v>
      </c>
      <c r="O125" s="17" t="n">
        <f aca="false">(H125/100)*M125/(G125/N125)</f>
        <v>1.56758420296318</v>
      </c>
      <c r="P125" s="19" t="n">
        <f aca="false">COUNTIFS($B$2:$B$132,B125,$O$2:$O$132,"&gt;"&amp;O125)+1</f>
        <v>5</v>
      </c>
    </row>
    <row r="126" customFormat="false" ht="15" hidden="false" customHeight="false" outlineLevel="0" collapsed="false">
      <c r="A126" s="13" t="s">
        <v>182</v>
      </c>
      <c r="B126" s="13" t="s">
        <v>17</v>
      </c>
      <c r="C126" s="13" t="s">
        <v>92</v>
      </c>
      <c r="D126" s="13" t="s">
        <v>93</v>
      </c>
      <c r="E126" s="14" t="n">
        <v>20</v>
      </c>
      <c r="F126" s="14" t="n">
        <v>85000</v>
      </c>
      <c r="G126" s="15" t="n">
        <v>10.38</v>
      </c>
      <c r="H126" s="13" t="n">
        <v>120</v>
      </c>
      <c r="I126" s="16" t="n">
        <v>0.13</v>
      </c>
      <c r="J126" s="16" t="n">
        <v>0.27</v>
      </c>
      <c r="K126" s="16" t="n">
        <v>0.25</v>
      </c>
      <c r="L126" s="16" t="n">
        <v>0.35</v>
      </c>
      <c r="M126" s="17" t="n">
        <f aca="false">(I126*Brief!$B$19+J126*Brief!$B$20+K126*Brief!$B$21+L126*Brief!$B$22)/0.25</f>
        <v>1.084</v>
      </c>
      <c r="N126" s="18" t="n">
        <f aca="false">AVERAGEIF($B$2:$B$132,B126,$G$2:$G$132)</f>
        <v>10.592380952381</v>
      </c>
      <c r="O126" s="17" t="n">
        <f aca="false">(H126/100)*M126/(G126/N126)</f>
        <v>1.32741513900358</v>
      </c>
      <c r="P126" s="19" t="n">
        <f aca="false">COUNTIFS($B$2:$B$132,B126,$O$2:$O$132,"&gt;"&amp;O126)+1</f>
        <v>15</v>
      </c>
    </row>
    <row r="127" customFormat="false" ht="15" hidden="false" customHeight="false" outlineLevel="0" collapsed="false">
      <c r="A127" s="13" t="s">
        <v>183</v>
      </c>
      <c r="B127" s="13" t="s">
        <v>17</v>
      </c>
      <c r="C127" s="13" t="s">
        <v>92</v>
      </c>
      <c r="D127" s="13" t="s">
        <v>93</v>
      </c>
      <c r="E127" s="14" t="n">
        <v>12</v>
      </c>
      <c r="F127" s="14" t="n">
        <v>115000</v>
      </c>
      <c r="G127" s="15" t="n">
        <v>11.46</v>
      </c>
      <c r="H127" s="13" t="n">
        <v>120</v>
      </c>
      <c r="I127" s="16" t="n">
        <v>0.13</v>
      </c>
      <c r="J127" s="16" t="n">
        <v>0.33</v>
      </c>
      <c r="K127" s="16" t="n">
        <v>0.21</v>
      </c>
      <c r="L127" s="16" t="n">
        <v>0.32</v>
      </c>
      <c r="M127" s="17" t="n">
        <f aca="false">(I127*Brief!$B$19+J127*Brief!$B$20+K127*Brief!$B$21+L127*Brief!$B$22)/0.25</f>
        <v>1.042</v>
      </c>
      <c r="N127" s="18" t="n">
        <f aca="false">AVERAGEIF($B$2:$B$132,B127,$G$2:$G$132)</f>
        <v>10.592380952381</v>
      </c>
      <c r="O127" s="17" t="n">
        <f aca="false">(H127/100)*M127/(G127/N127)</f>
        <v>1.15573413113937</v>
      </c>
      <c r="P127" s="19" t="n">
        <f aca="false">COUNTIFS($B$2:$B$132,B127,$O$2:$O$132,"&gt;"&amp;O127)+1</f>
        <v>24</v>
      </c>
    </row>
    <row r="128" customFormat="false" ht="15" hidden="false" customHeight="false" outlineLevel="0" collapsed="false">
      <c r="A128" s="13" t="s">
        <v>184</v>
      </c>
      <c r="B128" s="13" t="s">
        <v>17</v>
      </c>
      <c r="C128" s="13" t="s">
        <v>92</v>
      </c>
      <c r="D128" s="13" t="s">
        <v>93</v>
      </c>
      <c r="E128" s="14" t="n">
        <v>16</v>
      </c>
      <c r="F128" s="14" t="n">
        <v>89000</v>
      </c>
      <c r="G128" s="15" t="n">
        <v>9.07</v>
      </c>
      <c r="H128" s="13" t="n">
        <v>134</v>
      </c>
      <c r="I128" s="16" t="n">
        <v>0.1</v>
      </c>
      <c r="J128" s="16" t="n">
        <v>0.31</v>
      </c>
      <c r="K128" s="16" t="n">
        <v>0.28</v>
      </c>
      <c r="L128" s="16" t="n">
        <v>0.32</v>
      </c>
      <c r="M128" s="17" t="n">
        <f aca="false">(I128*Brief!$B$19+J128*Brief!$B$20+K128*Brief!$B$21+L128*Brief!$B$22)/0.25</f>
        <v>1.092</v>
      </c>
      <c r="N128" s="18" t="n">
        <f aca="false">AVERAGEIF($B$2:$B$132,B128,$G$2:$G$132)</f>
        <v>10.592380952381</v>
      </c>
      <c r="O128" s="17" t="n">
        <f aca="false">(H128/100)*M128/(G128/N128)</f>
        <v>1.70888855567806</v>
      </c>
      <c r="P128" s="19" t="n">
        <f aca="false">COUNTIFS($B$2:$B$132,B128,$O$2:$O$132,"&gt;"&amp;O128)+1</f>
        <v>2</v>
      </c>
    </row>
    <row r="129" customFormat="false" ht="15" hidden="false" customHeight="false" outlineLevel="0" collapsed="false">
      <c r="A129" s="13" t="s">
        <v>185</v>
      </c>
      <c r="B129" s="13" t="s">
        <v>17</v>
      </c>
      <c r="C129" s="13" t="s">
        <v>92</v>
      </c>
      <c r="D129" s="13" t="s">
        <v>93</v>
      </c>
      <c r="E129" s="14" t="n">
        <v>30</v>
      </c>
      <c r="F129" s="14" t="n">
        <v>145000</v>
      </c>
      <c r="G129" s="15" t="n">
        <v>9.18</v>
      </c>
      <c r="H129" s="13" t="n">
        <v>127</v>
      </c>
      <c r="I129" s="16" t="n">
        <v>0.15</v>
      </c>
      <c r="J129" s="16" t="n">
        <v>0.32</v>
      </c>
      <c r="K129" s="16" t="n">
        <v>0.19</v>
      </c>
      <c r="L129" s="16" t="n">
        <v>0.33</v>
      </c>
      <c r="M129" s="17" t="n">
        <f aca="false">(I129*Brief!$B$19+J129*Brief!$B$20+K129*Brief!$B$21+L129*Brief!$B$22)/0.25</f>
        <v>1.036</v>
      </c>
      <c r="N129" s="18" t="n">
        <f aca="false">AVERAGEIF($B$2:$B$132,B129,$G$2:$G$132)</f>
        <v>10.592380952381</v>
      </c>
      <c r="O129" s="17" t="n">
        <f aca="false">(H129/100)*M129/(G129/N129)</f>
        <v>1.51814896151053</v>
      </c>
      <c r="P129" s="19" t="n">
        <f aca="false">COUNTIFS($B$2:$B$132,B129,$O$2:$O$132,"&gt;"&amp;O129)+1</f>
        <v>7</v>
      </c>
    </row>
    <row r="130" customFormat="false" ht="15" hidden="false" customHeight="false" outlineLevel="0" collapsed="false">
      <c r="A130" s="13" t="s">
        <v>186</v>
      </c>
      <c r="B130" s="13" t="s">
        <v>17</v>
      </c>
      <c r="C130" s="13" t="s">
        <v>92</v>
      </c>
      <c r="D130" s="13" t="s">
        <v>93</v>
      </c>
      <c r="E130" s="14" t="n">
        <v>22</v>
      </c>
      <c r="F130" s="14" t="n">
        <v>116000</v>
      </c>
      <c r="G130" s="15" t="n">
        <v>9.96</v>
      </c>
      <c r="H130" s="13" t="n">
        <v>129</v>
      </c>
      <c r="I130" s="16" t="n">
        <v>0.1</v>
      </c>
      <c r="J130" s="16" t="n">
        <v>0.29</v>
      </c>
      <c r="K130" s="16" t="n">
        <v>0.28</v>
      </c>
      <c r="L130" s="16" t="n">
        <v>0.33</v>
      </c>
      <c r="M130" s="17" t="n">
        <f aca="false">(I130*Brief!$B$19+J130*Brief!$B$20+K130*Brief!$B$21+L130*Brief!$B$22)/0.25</f>
        <v>1.09</v>
      </c>
      <c r="N130" s="18" t="n">
        <f aca="false">AVERAGEIF($B$2:$B$132,B130,$G$2:$G$132)</f>
        <v>10.592380952381</v>
      </c>
      <c r="O130" s="17" t="n">
        <f aca="false">(H130/100)*M130/(G130/N130)</f>
        <v>1.49537619047619</v>
      </c>
      <c r="P130" s="19" t="n">
        <f aca="false">COUNTIFS($B$2:$B$132,B130,$O$2:$O$132,"&gt;"&amp;O130)+1</f>
        <v>10</v>
      </c>
    </row>
    <row r="131" customFormat="false" ht="15" hidden="false" customHeight="false" outlineLevel="0" collapsed="false">
      <c r="A131" s="13" t="s">
        <v>187</v>
      </c>
      <c r="B131" s="13" t="s">
        <v>17</v>
      </c>
      <c r="C131" s="13" t="s">
        <v>92</v>
      </c>
      <c r="D131" s="13" t="s">
        <v>93</v>
      </c>
      <c r="E131" s="14" t="n">
        <v>25</v>
      </c>
      <c r="F131" s="14" t="n">
        <v>94000</v>
      </c>
      <c r="G131" s="15" t="n">
        <v>11.96</v>
      </c>
      <c r="H131" s="13" t="n">
        <v>133</v>
      </c>
      <c r="I131" s="16" t="n">
        <v>0.11</v>
      </c>
      <c r="J131" s="16" t="n">
        <v>0.29</v>
      </c>
      <c r="K131" s="16" t="n">
        <v>0.23</v>
      </c>
      <c r="L131" s="16" t="n">
        <v>0.38</v>
      </c>
      <c r="M131" s="17" t="n">
        <f aca="false">(I131*Brief!$B$19+J131*Brief!$B$20+K131*Brief!$B$21+L131*Brief!$B$22)/0.25</f>
        <v>1.106</v>
      </c>
      <c r="N131" s="18" t="n">
        <f aca="false">AVERAGEIF($B$2:$B$132,B131,$G$2:$G$132)</f>
        <v>10.592380952381</v>
      </c>
      <c r="O131" s="17" t="n">
        <f aca="false">(H131/100)*M131/(G131/N131)</f>
        <v>1.30277429208473</v>
      </c>
      <c r="P131" s="19" t="n">
        <f aca="false">COUNTIFS($B$2:$B$132,B131,$O$2:$O$132,"&gt;"&amp;O131)+1</f>
        <v>17</v>
      </c>
    </row>
    <row r="132" customFormat="false" ht="15" hidden="false" customHeight="false" outlineLevel="0" collapsed="false">
      <c r="A132" s="13" t="s">
        <v>188</v>
      </c>
      <c r="B132" s="13" t="s">
        <v>17</v>
      </c>
      <c r="C132" s="13" t="s">
        <v>92</v>
      </c>
      <c r="D132" s="13" t="s">
        <v>93</v>
      </c>
      <c r="E132" s="14" t="n">
        <v>27</v>
      </c>
      <c r="F132" s="14" t="n">
        <v>134000</v>
      </c>
      <c r="G132" s="15" t="n">
        <v>9.48</v>
      </c>
      <c r="H132" s="13" t="n">
        <v>123</v>
      </c>
      <c r="I132" s="16" t="n">
        <v>0.07</v>
      </c>
      <c r="J132" s="16" t="n">
        <v>0.33</v>
      </c>
      <c r="K132" s="16" t="n">
        <v>0.24</v>
      </c>
      <c r="L132" s="16" t="n">
        <v>0.36</v>
      </c>
      <c r="M132" s="17" t="n">
        <f aca="false">(I132*Brief!$B$19+J132*Brief!$B$20+K132*Brief!$B$21+L132*Brief!$B$22)/0.25</f>
        <v>1.098</v>
      </c>
      <c r="N132" s="18" t="n">
        <f aca="false">AVERAGEIF($B$2:$B$132,B132,$G$2:$G$132)</f>
        <v>10.592380952381</v>
      </c>
      <c r="O132" s="17" t="n">
        <f aca="false">(H132/100)*M132/(G132/N132)</f>
        <v>1.50901204339964</v>
      </c>
      <c r="P132" s="19" t="n">
        <f aca="false">COUNTIFS($B$2:$B$132,B132,$O$2:$O$132,"&gt;"&amp;O132)+1</f>
        <v>8</v>
      </c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customFormat="false" ht="15" hidden="false" customHeight="false" outlineLevel="0" collapsed="false">
      <c r="A134" s="3" t="s">
        <v>189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customFormat="false" ht="15" hidden="false" customHeight="false" outlineLevel="0" collapsed="false">
      <c r="A135" s="3" t="s">
        <v>190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customFormat="false" ht="15" hidden="false" customHeight="false" outlineLevel="0" collapsed="false">
      <c r="A136" s="3" t="s">
        <v>191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</sheetData>
  <autoFilter ref="A1:P1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192</v>
      </c>
      <c r="F1" s="12" t="s">
        <v>193</v>
      </c>
      <c r="G1" s="12" t="s">
        <v>194</v>
      </c>
      <c r="H1" s="12" t="s">
        <v>37</v>
      </c>
      <c r="I1" s="12" t="s">
        <v>195</v>
      </c>
      <c r="J1" s="12" t="s">
        <v>196</v>
      </c>
    </row>
    <row r="2" customFormat="false" ht="15" hidden="false" customHeight="false" outlineLevel="0" collapsed="false">
      <c r="A2" s="13" t="s">
        <v>85</v>
      </c>
      <c r="B2" s="20" t="str">
        <f aca="false">INDEX(Inventory!$B$2:$B$132,MATCH(A2,Inventory!$A$2:$A$132,0))</f>
        <v>New York</v>
      </c>
      <c r="C2" s="20" t="str">
        <f aca="false">INDEX(Inventory!$C$2:$C$132,MATCH(A2,Inventory!$A$2:$A$132,0))</f>
        <v>PumpPlay TV</v>
      </c>
      <c r="D2" s="20" t="str">
        <f aca="false">INDEX(Inventory!$D$2:$D$132,MATCH(A2,Inventory!$A$2:$A$132,0))</f>
        <v>Gas</v>
      </c>
      <c r="E2" s="6" t="n">
        <v>1500</v>
      </c>
      <c r="F2" s="21" t="n">
        <f aca="false">INDEX(Inventory!$G$2:$G$132,MATCH(A2,Inventory!$A$2:$A$132,0))</f>
        <v>8.74</v>
      </c>
      <c r="G2" s="22" t="n">
        <f aca="false">IFERROR(E2/F2*1000,0)</f>
        <v>171624.71395881</v>
      </c>
      <c r="H2" s="23" t="n">
        <f aca="false">INDEX(Inventory!$H$2:$H$132,MATCH(A2,Inventory!$A$2:$A$132,0))</f>
        <v>117</v>
      </c>
      <c r="I2" s="22" t="n">
        <f aca="false">G2*Brief!$B$26*H2/100</f>
        <v>76304.347826087</v>
      </c>
      <c r="J2" s="10" t="n">
        <f aca="false">IFERROR(E2/SUMIF($B$2:$B$50,B2,$E$2:$E$50),0)</f>
        <v>0.0445103857566766</v>
      </c>
    </row>
    <row r="3" customFormat="false" ht="15" hidden="false" customHeight="false" outlineLevel="0" collapsed="false">
      <c r="A3" s="13" t="s">
        <v>96</v>
      </c>
      <c r="B3" s="20" t="str">
        <f aca="false">INDEX(Inventory!$B$2:$B$132,MATCH(A3,Inventory!$A$2:$A$132,0))</f>
        <v>New York</v>
      </c>
      <c r="C3" s="20" t="str">
        <f aca="false">INDEX(Inventory!$C$2:$C$132,MATCH(A3,Inventory!$A$2:$A$132,0))</f>
        <v>MallVision</v>
      </c>
      <c r="D3" s="20" t="str">
        <f aca="false">INDEX(Inventory!$D$2:$D$132,MATCH(A3,Inventory!$A$2:$A$132,0))</f>
        <v>Mall</v>
      </c>
      <c r="E3" s="6" t="n">
        <v>1500</v>
      </c>
      <c r="F3" s="21" t="n">
        <f aca="false">INDEX(Inventory!$G$2:$G$132,MATCH(A3,Inventory!$A$2:$A$132,0))</f>
        <v>11.18</v>
      </c>
      <c r="G3" s="22" t="n">
        <f aca="false">IFERROR(E3/F3*1000,0)</f>
        <v>134168.157423971</v>
      </c>
      <c r="H3" s="23" t="n">
        <f aca="false">INDEX(Inventory!$H$2:$H$132,MATCH(A3,Inventory!$A$2:$A$132,0))</f>
        <v>132</v>
      </c>
      <c r="I3" s="22" t="n">
        <f aca="false">G3*Brief!$B$26*H3/100</f>
        <v>67298.7477638641</v>
      </c>
      <c r="J3" s="10" t="n">
        <f aca="false">IFERROR(E3/SUMIF($B$2:$B$50,B3,$E$2:$E$50),0)</f>
        <v>0.0445103857566766</v>
      </c>
    </row>
    <row r="4" customFormat="false" ht="15" hidden="false" customHeight="false" outlineLevel="0" collapsed="false">
      <c r="A4" s="13" t="s">
        <v>67</v>
      </c>
      <c r="B4" s="20" t="str">
        <f aca="false">INDEX(Inventory!$B$2:$B$132,MATCH(A4,Inventory!$A$2:$A$132,0))</f>
        <v>New York</v>
      </c>
      <c r="C4" s="20" t="str">
        <f aca="false">INDEX(Inventory!$C$2:$C$132,MATCH(A4,Inventory!$A$2:$A$132,0))</f>
        <v>AisleCast Media</v>
      </c>
      <c r="D4" s="20" t="str">
        <f aca="false">INDEX(Inventory!$D$2:$D$132,MATCH(A4,Inventory!$A$2:$A$132,0))</f>
        <v>Grocery</v>
      </c>
      <c r="E4" s="6" t="n">
        <v>1100</v>
      </c>
      <c r="F4" s="21" t="n">
        <f aca="false">INDEX(Inventory!$G$2:$G$132,MATCH(A4,Inventory!$A$2:$A$132,0))</f>
        <v>13.26</v>
      </c>
      <c r="G4" s="22" t="n">
        <f aca="false">IFERROR(E4/F4*1000,0)</f>
        <v>82956.2594268477</v>
      </c>
      <c r="H4" s="23" t="n">
        <f aca="false">INDEX(Inventory!$H$2:$H$132,MATCH(A4,Inventory!$A$2:$A$132,0))</f>
        <v>154</v>
      </c>
      <c r="I4" s="22" t="n">
        <f aca="false">G4*Brief!$B$26*H4/100</f>
        <v>48546.0030165913</v>
      </c>
      <c r="J4" s="10" t="n">
        <f aca="false">IFERROR(E4/SUMIF($B$2:$B$50,B4,$E$2:$E$50),0)</f>
        <v>0.0326409495548961</v>
      </c>
    </row>
    <row r="5" customFormat="false" ht="15" hidden="false" customHeight="false" outlineLevel="0" collapsed="false">
      <c r="A5" s="13" t="s">
        <v>89</v>
      </c>
      <c r="B5" s="20" t="str">
        <f aca="false">INDEX(Inventory!$B$2:$B$132,MATCH(A5,Inventory!$A$2:$A$132,0))</f>
        <v>New York</v>
      </c>
      <c r="C5" s="20" t="str">
        <f aca="false">INDEX(Inventory!$C$2:$C$132,MATCH(A5,Inventory!$A$2:$A$132,0))</f>
        <v>PumpPlay TV</v>
      </c>
      <c r="D5" s="20" t="str">
        <f aca="false">INDEX(Inventory!$D$2:$D$132,MATCH(A5,Inventory!$A$2:$A$132,0))</f>
        <v>Gas</v>
      </c>
      <c r="E5" s="6" t="n">
        <v>1800</v>
      </c>
      <c r="F5" s="21" t="n">
        <f aca="false">INDEX(Inventory!$G$2:$G$132,MATCH(A5,Inventory!$A$2:$A$132,0))</f>
        <v>8.85</v>
      </c>
      <c r="G5" s="22" t="n">
        <f aca="false">IFERROR(E5/F5*1000,0)</f>
        <v>203389.830508475</v>
      </c>
      <c r="H5" s="23" t="n">
        <f aca="false">INDEX(Inventory!$H$2:$H$132,MATCH(A5,Inventory!$A$2:$A$132,0))</f>
        <v>110</v>
      </c>
      <c r="I5" s="22" t="n">
        <f aca="false">G5*Brief!$B$26*H5/100</f>
        <v>85016.9491525424</v>
      </c>
      <c r="J5" s="10" t="n">
        <f aca="false">IFERROR(E5/SUMIF($B$2:$B$50,B5,$E$2:$E$50),0)</f>
        <v>0.0534124629080119</v>
      </c>
    </row>
    <row r="6" customFormat="false" ht="15" hidden="false" customHeight="false" outlineLevel="0" collapsed="false">
      <c r="A6" s="13" t="s">
        <v>91</v>
      </c>
      <c r="B6" s="20" t="str">
        <f aca="false">INDEX(Inventory!$B$2:$B$132,MATCH(A6,Inventory!$A$2:$A$132,0))</f>
        <v>New York</v>
      </c>
      <c r="C6" s="20" t="str">
        <f aca="false">INDEX(Inventory!$C$2:$C$132,MATCH(A6,Inventory!$A$2:$A$132,0))</f>
        <v>MallVision</v>
      </c>
      <c r="D6" s="20" t="str">
        <f aca="false">INDEX(Inventory!$D$2:$D$132,MATCH(A6,Inventory!$A$2:$A$132,0))</f>
        <v>Mall</v>
      </c>
      <c r="E6" s="6" t="n">
        <v>2600</v>
      </c>
      <c r="F6" s="21" t="n">
        <f aca="false">INDEX(Inventory!$G$2:$G$132,MATCH(A6,Inventory!$A$2:$A$132,0))</f>
        <v>11.02</v>
      </c>
      <c r="G6" s="22" t="n">
        <f aca="false">IFERROR(E6/F6*1000,0)</f>
        <v>235934.664246824</v>
      </c>
      <c r="H6" s="23" t="n">
        <f aca="false">INDEX(Inventory!$H$2:$H$132,MATCH(A6,Inventory!$A$2:$A$132,0))</f>
        <v>116</v>
      </c>
      <c r="I6" s="22" t="n">
        <f aca="false">G6*Brief!$B$26*H6/100</f>
        <v>104000</v>
      </c>
      <c r="J6" s="10" t="n">
        <f aca="false">IFERROR(E6/SUMIF($B$2:$B$50,B6,$E$2:$E$50),0)</f>
        <v>0.0771513353115727</v>
      </c>
    </row>
    <row r="7" customFormat="false" ht="15" hidden="false" customHeight="false" outlineLevel="0" collapsed="false">
      <c r="A7" s="13" t="s">
        <v>82</v>
      </c>
      <c r="B7" s="20" t="str">
        <f aca="false">INDEX(Inventory!$B$2:$B$132,MATCH(A7,Inventory!$A$2:$A$132,0))</f>
        <v>New York</v>
      </c>
      <c r="C7" s="20" t="str">
        <f aca="false">INDEX(Inventory!$C$2:$C$132,MATCH(A7,Inventory!$A$2:$A$132,0))</f>
        <v>PumpPlay TV</v>
      </c>
      <c r="D7" s="20" t="str">
        <f aca="false">INDEX(Inventory!$D$2:$D$132,MATCH(A7,Inventory!$A$2:$A$132,0))</f>
        <v>Gas</v>
      </c>
      <c r="E7" s="6" t="n">
        <v>700</v>
      </c>
      <c r="F7" s="21" t="n">
        <f aca="false">INDEX(Inventory!$G$2:$G$132,MATCH(A7,Inventory!$A$2:$A$132,0))</f>
        <v>8.84</v>
      </c>
      <c r="G7" s="22" t="n">
        <f aca="false">IFERROR(E7/F7*1000,0)</f>
        <v>79185.520361991</v>
      </c>
      <c r="H7" s="23" t="n">
        <f aca="false">INDEX(Inventory!$H$2:$H$132,MATCH(A7,Inventory!$A$2:$A$132,0))</f>
        <v>109</v>
      </c>
      <c r="I7" s="22" t="n">
        <f aca="false">G7*Brief!$B$26*H7/100</f>
        <v>32798.6425339367</v>
      </c>
      <c r="J7" s="10" t="n">
        <f aca="false">IFERROR(E7/SUMIF($B$2:$B$50,B7,$E$2:$E$50),0)</f>
        <v>0.0207715133531157</v>
      </c>
    </row>
    <row r="8" customFormat="false" ht="15" hidden="false" customHeight="false" outlineLevel="0" collapsed="false">
      <c r="A8" s="13" t="s">
        <v>69</v>
      </c>
      <c r="B8" s="20" t="str">
        <f aca="false">INDEX(Inventory!$B$2:$B$132,MATCH(A8,Inventory!$A$2:$A$132,0))</f>
        <v>New York</v>
      </c>
      <c r="C8" s="20" t="str">
        <f aca="false">INDEX(Inventory!$C$2:$C$132,MATCH(A8,Inventory!$A$2:$A$132,0))</f>
        <v>AisleCast Media</v>
      </c>
      <c r="D8" s="20" t="str">
        <f aca="false">INDEX(Inventory!$D$2:$D$132,MATCH(A8,Inventory!$A$2:$A$132,0))</f>
        <v>Grocery</v>
      </c>
      <c r="E8" s="6" t="n">
        <v>1700</v>
      </c>
      <c r="F8" s="21" t="n">
        <f aca="false">INDEX(Inventory!$G$2:$G$132,MATCH(A8,Inventory!$A$2:$A$132,0))</f>
        <v>13.4</v>
      </c>
      <c r="G8" s="22" t="n">
        <f aca="false">IFERROR(E8/F8*1000,0)</f>
        <v>126865.671641791</v>
      </c>
      <c r="H8" s="23" t="n">
        <f aca="false">INDEX(Inventory!$H$2:$H$132,MATCH(A8,Inventory!$A$2:$A$132,0))</f>
        <v>149</v>
      </c>
      <c r="I8" s="22" t="n">
        <f aca="false">G8*Brief!$B$26*H8/100</f>
        <v>71831.3432835821</v>
      </c>
      <c r="J8" s="10" t="n">
        <f aca="false">IFERROR(E8/SUMIF($B$2:$B$50,B8,$E$2:$E$50),0)</f>
        <v>0.0504451038575668</v>
      </c>
    </row>
    <row r="9" customFormat="false" ht="15" hidden="false" customHeight="false" outlineLevel="0" collapsed="false">
      <c r="A9" s="13" t="s">
        <v>90</v>
      </c>
      <c r="B9" s="20" t="str">
        <f aca="false">INDEX(Inventory!$B$2:$B$132,MATCH(A9,Inventory!$A$2:$A$132,0))</f>
        <v>New York</v>
      </c>
      <c r="C9" s="20" t="str">
        <f aca="false">INDEX(Inventory!$C$2:$C$132,MATCH(A9,Inventory!$A$2:$A$132,0))</f>
        <v>PumpPlay TV</v>
      </c>
      <c r="D9" s="20" t="str">
        <f aca="false">INDEX(Inventory!$D$2:$D$132,MATCH(A9,Inventory!$A$2:$A$132,0))</f>
        <v>Gas</v>
      </c>
      <c r="E9" s="6" t="n">
        <v>2100</v>
      </c>
      <c r="F9" s="21" t="n">
        <f aca="false">INDEX(Inventory!$G$2:$G$132,MATCH(A9,Inventory!$A$2:$A$132,0))</f>
        <v>9.62</v>
      </c>
      <c r="G9" s="22" t="n">
        <f aca="false">IFERROR(E9/F9*1000,0)</f>
        <v>218295.218295218</v>
      </c>
      <c r="H9" s="23" t="n">
        <f aca="false">INDEX(Inventory!$H$2:$H$132,MATCH(A9,Inventory!$A$2:$A$132,0))</f>
        <v>112</v>
      </c>
      <c r="I9" s="22" t="n">
        <f aca="false">G9*Brief!$B$26*H9/100</f>
        <v>92906.4449064449</v>
      </c>
      <c r="J9" s="10" t="n">
        <f aca="false">IFERROR(E9/SUMIF($B$2:$B$50,B9,$E$2:$E$50),0)</f>
        <v>0.0623145400593472</v>
      </c>
    </row>
    <row r="10" customFormat="false" ht="15" hidden="false" customHeight="false" outlineLevel="0" collapsed="false">
      <c r="A10" s="13" t="s">
        <v>94</v>
      </c>
      <c r="B10" s="20" t="str">
        <f aca="false">INDEX(Inventory!$B$2:$B$132,MATCH(A10,Inventory!$A$2:$A$132,0))</f>
        <v>New York</v>
      </c>
      <c r="C10" s="20" t="str">
        <f aca="false">INDEX(Inventory!$C$2:$C$132,MATCH(A10,Inventory!$A$2:$A$132,0))</f>
        <v>MallVision</v>
      </c>
      <c r="D10" s="20" t="str">
        <f aca="false">INDEX(Inventory!$D$2:$D$132,MATCH(A10,Inventory!$A$2:$A$132,0))</f>
        <v>Mall</v>
      </c>
      <c r="E10" s="6" t="n">
        <v>2000</v>
      </c>
      <c r="F10" s="21" t="n">
        <f aca="false">INDEX(Inventory!$G$2:$G$132,MATCH(A10,Inventory!$A$2:$A$132,0))</f>
        <v>11.06</v>
      </c>
      <c r="G10" s="22" t="n">
        <f aca="false">IFERROR(E10/F10*1000,0)</f>
        <v>180831.826401447</v>
      </c>
      <c r="H10" s="23" t="n">
        <f aca="false">INDEX(Inventory!$H$2:$H$132,MATCH(A10,Inventory!$A$2:$A$132,0))</f>
        <v>118</v>
      </c>
      <c r="I10" s="22" t="n">
        <f aca="false">G10*Brief!$B$26*H10/100</f>
        <v>81084.9909584087</v>
      </c>
      <c r="J10" s="10" t="n">
        <f aca="false">IFERROR(E10/SUMIF($B$2:$B$50,B10,$E$2:$E$50),0)</f>
        <v>0.0593471810089021</v>
      </c>
    </row>
    <row r="11" customFormat="false" ht="15" hidden="false" customHeight="false" outlineLevel="0" collapsed="false">
      <c r="A11" s="13" t="s">
        <v>61</v>
      </c>
      <c r="B11" s="20" t="str">
        <f aca="false">INDEX(Inventory!$B$2:$B$132,MATCH(A11,Inventory!$A$2:$A$132,0))</f>
        <v>New York</v>
      </c>
      <c r="C11" s="20" t="str">
        <f aca="false">INDEX(Inventory!$C$2:$C$132,MATCH(A11,Inventory!$A$2:$A$132,0))</f>
        <v>FitView Network</v>
      </c>
      <c r="D11" s="20" t="str">
        <f aca="false">INDEX(Inventory!$D$2:$D$132,MATCH(A11,Inventory!$A$2:$A$132,0))</f>
        <v>Gym</v>
      </c>
      <c r="E11" s="6" t="n">
        <v>400</v>
      </c>
      <c r="F11" s="21" t="n">
        <f aca="false">INDEX(Inventory!$G$2:$G$132,MATCH(A11,Inventory!$A$2:$A$132,0))</f>
        <v>10.45</v>
      </c>
      <c r="G11" s="22" t="n">
        <f aca="false">IFERROR(E11/F11*1000,0)</f>
        <v>38277.5119617225</v>
      </c>
      <c r="H11" s="23" t="n">
        <f aca="false">INDEX(Inventory!$H$2:$H$132,MATCH(A11,Inventory!$A$2:$A$132,0))</f>
        <v>121</v>
      </c>
      <c r="I11" s="22" t="n">
        <f aca="false">G11*Brief!$B$26*H11/100</f>
        <v>17600</v>
      </c>
      <c r="J11" s="10" t="n">
        <f aca="false">IFERROR(E11/SUMIF($B$2:$B$50,B11,$E$2:$E$50),0)</f>
        <v>0.0118694362017804</v>
      </c>
    </row>
    <row r="12" customFormat="false" ht="15" hidden="false" customHeight="false" outlineLevel="0" collapsed="false">
      <c r="A12" s="13" t="s">
        <v>86</v>
      </c>
      <c r="B12" s="20" t="str">
        <f aca="false">INDEX(Inventory!$B$2:$B$132,MATCH(A12,Inventory!$A$2:$A$132,0))</f>
        <v>New York</v>
      </c>
      <c r="C12" s="20" t="str">
        <f aca="false">INDEX(Inventory!$C$2:$C$132,MATCH(A12,Inventory!$A$2:$A$132,0))</f>
        <v>PumpPlay TV</v>
      </c>
      <c r="D12" s="20" t="str">
        <f aca="false">INDEX(Inventory!$D$2:$D$132,MATCH(A12,Inventory!$A$2:$A$132,0))</f>
        <v>Gas</v>
      </c>
      <c r="E12" s="6" t="n">
        <v>1200</v>
      </c>
      <c r="F12" s="21" t="n">
        <f aca="false">INDEX(Inventory!$G$2:$G$132,MATCH(A12,Inventory!$A$2:$A$132,0))</f>
        <v>9.74</v>
      </c>
      <c r="G12" s="22" t="n">
        <f aca="false">IFERROR(E12/F12*1000,0)</f>
        <v>123203.285420945</v>
      </c>
      <c r="H12" s="23" t="n">
        <f aca="false">INDEX(Inventory!$H$2:$H$132,MATCH(A12,Inventory!$A$2:$A$132,0))</f>
        <v>112</v>
      </c>
      <c r="I12" s="22" t="n">
        <f aca="false">G12*Brief!$B$26*H12/100</f>
        <v>52435.318275154</v>
      </c>
      <c r="J12" s="10" t="n">
        <f aca="false">IFERROR(E12/SUMIF($B$2:$B$50,B12,$E$2:$E$50),0)</f>
        <v>0.0356083086053413</v>
      </c>
    </row>
    <row r="13" customFormat="false" ht="15" hidden="false" customHeight="false" outlineLevel="0" collapsed="false">
      <c r="A13" s="13" t="s">
        <v>71</v>
      </c>
      <c r="B13" s="20" t="str">
        <f aca="false">INDEX(Inventory!$B$2:$B$132,MATCH(A13,Inventory!$A$2:$A$132,0))</f>
        <v>New York</v>
      </c>
      <c r="C13" s="20" t="str">
        <f aca="false">INDEX(Inventory!$C$2:$C$132,MATCH(A13,Inventory!$A$2:$A$132,0))</f>
        <v>AisleCast Media</v>
      </c>
      <c r="D13" s="20" t="str">
        <f aca="false">INDEX(Inventory!$D$2:$D$132,MATCH(A13,Inventory!$A$2:$A$132,0))</f>
        <v>Grocery</v>
      </c>
      <c r="E13" s="6" t="n">
        <v>1000</v>
      </c>
      <c r="F13" s="21" t="n">
        <f aca="false">INDEX(Inventory!$G$2:$G$132,MATCH(A13,Inventory!$A$2:$A$132,0))</f>
        <v>14.3</v>
      </c>
      <c r="G13" s="22" t="n">
        <f aca="false">IFERROR(E13/F13*1000,0)</f>
        <v>69930.0699300699</v>
      </c>
      <c r="H13" s="23" t="n">
        <f aca="false">INDEX(Inventory!$H$2:$H$132,MATCH(A13,Inventory!$A$2:$A$132,0))</f>
        <v>150</v>
      </c>
      <c r="I13" s="22" t="n">
        <f aca="false">G13*Brief!$B$26*H13/100</f>
        <v>39860.1398601399</v>
      </c>
      <c r="J13" s="10" t="n">
        <f aca="false">IFERROR(E13/SUMIF($B$2:$B$50,B13,$E$2:$E$50),0)</f>
        <v>0.029673590504451</v>
      </c>
    </row>
    <row r="14" customFormat="false" ht="15" hidden="false" customHeight="false" outlineLevel="0" collapsed="false">
      <c r="A14" s="13" t="s">
        <v>72</v>
      </c>
      <c r="B14" s="20" t="str">
        <f aca="false">INDEX(Inventory!$B$2:$B$132,MATCH(A14,Inventory!$A$2:$A$132,0))</f>
        <v>New York</v>
      </c>
      <c r="C14" s="20" t="str">
        <f aca="false">INDEX(Inventory!$C$2:$C$132,MATCH(A14,Inventory!$A$2:$A$132,0))</f>
        <v>AisleCast Media</v>
      </c>
      <c r="D14" s="20" t="str">
        <f aca="false">INDEX(Inventory!$D$2:$D$132,MATCH(A14,Inventory!$A$2:$A$132,0))</f>
        <v>Grocery</v>
      </c>
      <c r="E14" s="6" t="n">
        <v>1500</v>
      </c>
      <c r="F14" s="21" t="n">
        <f aca="false">INDEX(Inventory!$G$2:$G$132,MATCH(A14,Inventory!$A$2:$A$132,0))</f>
        <v>14.49</v>
      </c>
      <c r="G14" s="22" t="n">
        <f aca="false">IFERROR(E14/F14*1000,0)</f>
        <v>103519.66873706</v>
      </c>
      <c r="H14" s="23" t="n">
        <f aca="false">INDEX(Inventory!$H$2:$H$132,MATCH(A14,Inventory!$A$2:$A$132,0))</f>
        <v>155</v>
      </c>
      <c r="I14" s="22" t="n">
        <f aca="false">G14*Brief!$B$26*H14/100</f>
        <v>60973.0848861284</v>
      </c>
      <c r="J14" s="10" t="n">
        <f aca="false">IFERROR(E14/SUMIF($B$2:$B$50,B14,$E$2:$E$50),0)</f>
        <v>0.0445103857566766</v>
      </c>
    </row>
    <row r="15" customFormat="false" ht="15" hidden="false" customHeight="false" outlineLevel="0" collapsed="false">
      <c r="A15" s="13" t="s">
        <v>70</v>
      </c>
      <c r="B15" s="20" t="str">
        <f aca="false">INDEX(Inventory!$B$2:$B$132,MATCH(A15,Inventory!$A$2:$A$132,0))</f>
        <v>New York</v>
      </c>
      <c r="C15" s="20" t="str">
        <f aca="false">INDEX(Inventory!$C$2:$C$132,MATCH(A15,Inventory!$A$2:$A$132,0))</f>
        <v>AisleCast Media</v>
      </c>
      <c r="D15" s="20" t="str">
        <f aca="false">INDEX(Inventory!$D$2:$D$132,MATCH(A15,Inventory!$A$2:$A$132,0))</f>
        <v>Grocery</v>
      </c>
      <c r="E15" s="6" t="n">
        <v>1800</v>
      </c>
      <c r="F15" s="21" t="n">
        <f aca="false">INDEX(Inventory!$G$2:$G$132,MATCH(A15,Inventory!$A$2:$A$132,0))</f>
        <v>13.49</v>
      </c>
      <c r="G15" s="22" t="n">
        <f aca="false">IFERROR(E15/F15*1000,0)</f>
        <v>133432.171979244</v>
      </c>
      <c r="H15" s="23" t="n">
        <f aca="false">INDEX(Inventory!$H$2:$H$132,MATCH(A15,Inventory!$A$2:$A$132,0))</f>
        <v>148</v>
      </c>
      <c r="I15" s="22" t="n">
        <f aca="false">G15*Brief!$B$26*H15/100</f>
        <v>75042.2535211268</v>
      </c>
      <c r="J15" s="10" t="n">
        <f aca="false">IFERROR(E15/SUMIF($B$2:$B$50,B15,$E$2:$E$50),0)</f>
        <v>0.0534124629080119</v>
      </c>
    </row>
    <row r="16" customFormat="false" ht="15" hidden="false" customHeight="false" outlineLevel="0" collapsed="false">
      <c r="A16" s="13" t="s">
        <v>87</v>
      </c>
      <c r="B16" s="20" t="str">
        <f aca="false">INDEX(Inventory!$B$2:$B$132,MATCH(A16,Inventory!$A$2:$A$132,0))</f>
        <v>New York</v>
      </c>
      <c r="C16" s="20" t="str">
        <f aca="false">INDEX(Inventory!$C$2:$C$132,MATCH(A16,Inventory!$A$2:$A$132,0))</f>
        <v>PumpPlay TV</v>
      </c>
      <c r="D16" s="20" t="str">
        <f aca="false">INDEX(Inventory!$D$2:$D$132,MATCH(A16,Inventory!$A$2:$A$132,0))</f>
        <v>Gas</v>
      </c>
      <c r="E16" s="6" t="n">
        <v>1700</v>
      </c>
      <c r="F16" s="21" t="n">
        <f aca="false">INDEX(Inventory!$G$2:$G$132,MATCH(A16,Inventory!$A$2:$A$132,0))</f>
        <v>10.24</v>
      </c>
      <c r="G16" s="22" t="n">
        <f aca="false">IFERROR(E16/F16*1000,0)</f>
        <v>166015.625</v>
      </c>
      <c r="H16" s="23" t="n">
        <f aca="false">INDEX(Inventory!$H$2:$H$132,MATCH(A16,Inventory!$A$2:$A$132,0))</f>
        <v>117</v>
      </c>
      <c r="I16" s="22" t="n">
        <f aca="false">G16*Brief!$B$26*H16/100</f>
        <v>73810.546875</v>
      </c>
      <c r="J16" s="10" t="n">
        <f aca="false">IFERROR(E16/SUMIF($B$2:$B$50,B16,$E$2:$E$50),0)</f>
        <v>0.0504451038575668</v>
      </c>
    </row>
    <row r="17" customFormat="false" ht="15" hidden="false" customHeight="false" outlineLevel="0" collapsed="false">
      <c r="A17" s="13" t="s">
        <v>64</v>
      </c>
      <c r="B17" s="20" t="str">
        <f aca="false">INDEX(Inventory!$B$2:$B$132,MATCH(A17,Inventory!$A$2:$A$132,0))</f>
        <v>New York</v>
      </c>
      <c r="C17" s="20" t="str">
        <f aca="false">INDEX(Inventory!$C$2:$C$132,MATCH(A17,Inventory!$A$2:$A$132,0))</f>
        <v>AisleCast Media</v>
      </c>
      <c r="D17" s="20" t="str">
        <f aca="false">INDEX(Inventory!$D$2:$D$132,MATCH(A17,Inventory!$A$2:$A$132,0))</f>
        <v>Grocery</v>
      </c>
      <c r="E17" s="6" t="n">
        <v>2500</v>
      </c>
      <c r="F17" s="21" t="n">
        <f aca="false">INDEX(Inventory!$G$2:$G$132,MATCH(A17,Inventory!$A$2:$A$132,0))</f>
        <v>15.62</v>
      </c>
      <c r="G17" s="22" t="n">
        <f aca="false">IFERROR(E17/F17*1000,0)</f>
        <v>160051.216389245</v>
      </c>
      <c r="H17" s="23" t="n">
        <f aca="false">INDEX(Inventory!$H$2:$H$132,MATCH(A17,Inventory!$A$2:$A$132,0))</f>
        <v>153</v>
      </c>
      <c r="I17" s="22" t="n">
        <f aca="false">G17*Brief!$B$26*H17/100</f>
        <v>93053.7772087068</v>
      </c>
      <c r="J17" s="10" t="n">
        <f aca="false">IFERROR(E17/SUMIF($B$2:$B$50,B17,$E$2:$E$50),0)</f>
        <v>0.0741839762611276</v>
      </c>
    </row>
    <row r="18" customFormat="false" ht="15" hidden="false" customHeight="false" outlineLevel="0" collapsed="false">
      <c r="A18" s="13" t="s">
        <v>88</v>
      </c>
      <c r="B18" s="20" t="str">
        <f aca="false">INDEX(Inventory!$B$2:$B$132,MATCH(A18,Inventory!$A$2:$A$132,0))</f>
        <v>New York</v>
      </c>
      <c r="C18" s="20" t="str">
        <f aca="false">INDEX(Inventory!$C$2:$C$132,MATCH(A18,Inventory!$A$2:$A$132,0))</f>
        <v>PumpPlay TV</v>
      </c>
      <c r="D18" s="20" t="str">
        <f aca="false">INDEX(Inventory!$D$2:$D$132,MATCH(A18,Inventory!$A$2:$A$132,0))</f>
        <v>Gas</v>
      </c>
      <c r="E18" s="6" t="n">
        <v>2400</v>
      </c>
      <c r="F18" s="21" t="n">
        <f aca="false">INDEX(Inventory!$G$2:$G$132,MATCH(A18,Inventory!$A$2:$A$132,0))</f>
        <v>10.83</v>
      </c>
      <c r="G18" s="22" t="n">
        <f aca="false">IFERROR(E18/F18*1000,0)</f>
        <v>221606.648199446</v>
      </c>
      <c r="H18" s="23" t="n">
        <f aca="false">INDEX(Inventory!$H$2:$H$132,MATCH(A18,Inventory!$A$2:$A$132,0))</f>
        <v>111</v>
      </c>
      <c r="I18" s="22" t="n">
        <f aca="false">G18*Brief!$B$26*H18/100</f>
        <v>93473.6842105263</v>
      </c>
      <c r="J18" s="10" t="n">
        <f aca="false">IFERROR(E18/SUMIF($B$2:$B$50,B18,$E$2:$E$50),0)</f>
        <v>0.0712166172106825</v>
      </c>
    </row>
    <row r="19" customFormat="false" ht="15" hidden="false" customHeight="false" outlineLevel="0" collapsed="false">
      <c r="A19" s="13" t="s">
        <v>51</v>
      </c>
      <c r="B19" s="20" t="str">
        <f aca="false">INDEX(Inventory!$B$2:$B$132,MATCH(A19,Inventory!$A$2:$A$132,0))</f>
        <v>New York</v>
      </c>
      <c r="C19" s="20" t="str">
        <f aca="false">INDEX(Inventory!$C$2:$C$132,MATCH(A19,Inventory!$A$2:$A$132,0))</f>
        <v>MetroScreens</v>
      </c>
      <c r="D19" s="20" t="str">
        <f aca="false">INDEX(Inventory!$D$2:$D$132,MATCH(A19,Inventory!$A$2:$A$132,0))</f>
        <v>Transit</v>
      </c>
      <c r="E19" s="6" t="n">
        <v>4000</v>
      </c>
      <c r="F19" s="21" t="n">
        <f aca="false">INDEX(Inventory!$G$2:$G$132,MATCH(A19,Inventory!$A$2:$A$132,0))</f>
        <v>9.4</v>
      </c>
      <c r="G19" s="22" t="n">
        <f aca="false">IFERROR(E19/F19*1000,0)</f>
        <v>425531.914893617</v>
      </c>
      <c r="H19" s="23" t="n">
        <f aca="false">INDEX(Inventory!$H$2:$H$132,MATCH(A19,Inventory!$A$2:$A$132,0))</f>
        <v>103</v>
      </c>
      <c r="I19" s="22" t="n">
        <f aca="false">G19*Brief!$B$26*H19/100</f>
        <v>166553.191489362</v>
      </c>
      <c r="J19" s="10" t="n">
        <f aca="false">IFERROR(E19/SUMIF($B$2:$B$50,B19,$E$2:$E$50),0)</f>
        <v>0.118694362017804</v>
      </c>
    </row>
    <row r="20" customFormat="false" ht="15" hidden="false" customHeight="false" outlineLevel="0" collapsed="false">
      <c r="A20" s="13" t="s">
        <v>63</v>
      </c>
      <c r="B20" s="20" t="str">
        <f aca="false">INDEX(Inventory!$B$2:$B$132,MATCH(A20,Inventory!$A$2:$A$132,0))</f>
        <v>New York</v>
      </c>
      <c r="C20" s="20" t="str">
        <f aca="false">INDEX(Inventory!$C$2:$C$132,MATCH(A20,Inventory!$A$2:$A$132,0))</f>
        <v>FitView Network</v>
      </c>
      <c r="D20" s="20" t="str">
        <f aca="false">INDEX(Inventory!$D$2:$D$132,MATCH(A20,Inventory!$A$2:$A$132,0))</f>
        <v>Gym</v>
      </c>
      <c r="E20" s="6" t="n">
        <v>400</v>
      </c>
      <c r="F20" s="21" t="n">
        <f aca="false">INDEX(Inventory!$G$2:$G$132,MATCH(A20,Inventory!$A$2:$A$132,0))</f>
        <v>10.89</v>
      </c>
      <c r="G20" s="22" t="n">
        <f aca="false">IFERROR(E20/F20*1000,0)</f>
        <v>36730.9458218549</v>
      </c>
      <c r="H20" s="23" t="n">
        <f aca="false">INDEX(Inventory!$H$2:$H$132,MATCH(A20,Inventory!$A$2:$A$132,0))</f>
        <v>112</v>
      </c>
      <c r="I20" s="22" t="n">
        <f aca="false">G20*Brief!$B$26*H20/100</f>
        <v>15632.6905417815</v>
      </c>
      <c r="J20" s="10" t="n">
        <f aca="false">IFERROR(E20/SUMIF($B$2:$B$50,B20,$E$2:$E$50),0)</f>
        <v>0.0118694362017804</v>
      </c>
    </row>
    <row r="21" customFormat="false" ht="15" hidden="false" customHeight="false" outlineLevel="0" collapsed="false">
      <c r="A21" s="13" t="s">
        <v>54</v>
      </c>
      <c r="B21" s="20" t="str">
        <f aca="false">INDEX(Inventory!$B$2:$B$132,MATCH(A21,Inventory!$A$2:$A$132,0))</f>
        <v>New York</v>
      </c>
      <c r="C21" s="20" t="str">
        <f aca="false">INDEX(Inventory!$C$2:$C$132,MATCH(A21,Inventory!$A$2:$A$132,0))</f>
        <v>FitView Network</v>
      </c>
      <c r="D21" s="20" t="str">
        <f aca="false">INDEX(Inventory!$D$2:$D$132,MATCH(A21,Inventory!$A$2:$A$132,0))</f>
        <v>Gym</v>
      </c>
      <c r="E21" s="6" t="n">
        <v>800</v>
      </c>
      <c r="F21" s="21" t="n">
        <f aca="false">INDEX(Inventory!$G$2:$G$132,MATCH(A21,Inventory!$A$2:$A$132,0))</f>
        <v>10.99</v>
      </c>
      <c r="G21" s="22" t="n">
        <f aca="false">IFERROR(E21/F21*1000,0)</f>
        <v>72793.4485896269</v>
      </c>
      <c r="H21" s="23" t="n">
        <f aca="false">INDEX(Inventory!$H$2:$H$132,MATCH(A21,Inventory!$A$2:$A$132,0))</f>
        <v>110</v>
      </c>
      <c r="I21" s="22" t="n">
        <f aca="false">G21*Brief!$B$26*H21/100</f>
        <v>30427.6615104641</v>
      </c>
      <c r="J21" s="10" t="n">
        <f aca="false">IFERROR(E21/SUMIF($B$2:$B$50,B21,$E$2:$E$50),0)</f>
        <v>0.0237388724035608</v>
      </c>
    </row>
    <row r="22" customFormat="false" ht="15" hidden="false" customHeight="false" outlineLevel="0" collapsed="false">
      <c r="A22" s="13" t="s">
        <v>95</v>
      </c>
      <c r="B22" s="20" t="str">
        <f aca="false">INDEX(Inventory!$B$2:$B$132,MATCH(A22,Inventory!$A$2:$A$132,0))</f>
        <v>New York</v>
      </c>
      <c r="C22" s="20" t="str">
        <f aca="false">INDEX(Inventory!$C$2:$C$132,MATCH(A22,Inventory!$A$2:$A$132,0))</f>
        <v>MallVision</v>
      </c>
      <c r="D22" s="20" t="str">
        <f aca="false">INDEX(Inventory!$D$2:$D$132,MATCH(A22,Inventory!$A$2:$A$132,0))</f>
        <v>Mall</v>
      </c>
      <c r="E22" s="6" t="n">
        <v>1000</v>
      </c>
      <c r="F22" s="21" t="n">
        <f aca="false">INDEX(Inventory!$G$2:$G$132,MATCH(A22,Inventory!$A$2:$A$132,0))</f>
        <v>13.48</v>
      </c>
      <c r="G22" s="22" t="n">
        <f aca="false">IFERROR(E22/F22*1000,0)</f>
        <v>74183.9762611276</v>
      </c>
      <c r="H22" s="23" t="n">
        <f aca="false">INDEX(Inventory!$H$2:$H$132,MATCH(A22,Inventory!$A$2:$A$132,0))</f>
        <v>116</v>
      </c>
      <c r="I22" s="22" t="n">
        <f aca="false">G22*Brief!$B$26*H22/100</f>
        <v>32700.296735905</v>
      </c>
      <c r="J22" s="10" t="n">
        <f aca="false">IFERROR(E22/SUMIF($B$2:$B$50,B22,$E$2:$E$50),0)</f>
        <v>0.029673590504451</v>
      </c>
    </row>
    <row r="23" customFormat="false" ht="15" hidden="false" customHeight="false" outlineLevel="0" collapsed="false">
      <c r="A23" s="13" t="s">
        <v>131</v>
      </c>
      <c r="B23" s="20" t="str">
        <f aca="false">INDEX(Inventory!$B$2:$B$132,MATCH(A23,Inventory!$A$2:$A$132,0))</f>
        <v>Los Angeles</v>
      </c>
      <c r="C23" s="20" t="str">
        <f aca="false">INDEX(Inventory!$C$2:$C$132,MATCH(A23,Inventory!$A$2:$A$132,0))</f>
        <v>PumpPlay TV</v>
      </c>
      <c r="D23" s="20" t="str">
        <f aca="false">INDEX(Inventory!$D$2:$D$132,MATCH(A23,Inventory!$A$2:$A$132,0))</f>
        <v>Gas</v>
      </c>
      <c r="E23" s="6" t="n">
        <v>600</v>
      </c>
      <c r="F23" s="21" t="n">
        <f aca="false">INDEX(Inventory!$G$2:$G$132,MATCH(A23,Inventory!$A$2:$A$132,0))</f>
        <v>8.01</v>
      </c>
      <c r="G23" s="22" t="n">
        <f aca="false">IFERROR(E23/F23*1000,0)</f>
        <v>74906.3670411985</v>
      </c>
      <c r="H23" s="23" t="n">
        <f aca="false">INDEX(Inventory!$H$2:$H$132,MATCH(A23,Inventory!$A$2:$A$132,0))</f>
        <v>116</v>
      </c>
      <c r="I23" s="22" t="n">
        <f aca="false">G23*Brief!$B$26*H23/100</f>
        <v>33018.7265917603</v>
      </c>
      <c r="J23" s="10" t="n">
        <f aca="false">IFERROR(E23/SUMIF($B$2:$B$50,B23,$E$2:$E$50),0)</f>
        <v>0.0229007633587786</v>
      </c>
    </row>
    <row r="24" customFormat="false" ht="15" hidden="false" customHeight="false" outlineLevel="0" collapsed="false">
      <c r="A24" s="13" t="s">
        <v>118</v>
      </c>
      <c r="B24" s="20" t="str">
        <f aca="false">INDEX(Inventory!$B$2:$B$132,MATCH(A24,Inventory!$A$2:$A$132,0))</f>
        <v>Los Angeles</v>
      </c>
      <c r="C24" s="20" t="str">
        <f aca="false">INDEX(Inventory!$C$2:$C$132,MATCH(A24,Inventory!$A$2:$A$132,0))</f>
        <v>AisleCast Media</v>
      </c>
      <c r="D24" s="20" t="str">
        <f aca="false">INDEX(Inventory!$D$2:$D$132,MATCH(A24,Inventory!$A$2:$A$132,0))</f>
        <v>Grocery</v>
      </c>
      <c r="E24" s="6" t="n">
        <v>1900</v>
      </c>
      <c r="F24" s="21" t="n">
        <f aca="false">INDEX(Inventory!$G$2:$G$132,MATCH(A24,Inventory!$A$2:$A$132,0))</f>
        <v>11.31</v>
      </c>
      <c r="G24" s="22" t="n">
        <f aca="false">IFERROR(E24/F24*1000,0)</f>
        <v>167992.926613616</v>
      </c>
      <c r="H24" s="23" t="n">
        <f aca="false">INDEX(Inventory!$H$2:$H$132,MATCH(A24,Inventory!$A$2:$A$132,0))</f>
        <v>154</v>
      </c>
      <c r="I24" s="22" t="n">
        <f aca="false">G24*Brief!$B$26*H24/100</f>
        <v>98309.4606542882</v>
      </c>
      <c r="J24" s="10" t="n">
        <f aca="false">IFERROR(E24/SUMIF($B$2:$B$50,B24,$E$2:$E$50),0)</f>
        <v>0.0725190839694656</v>
      </c>
    </row>
    <row r="25" customFormat="false" ht="15" hidden="false" customHeight="false" outlineLevel="0" collapsed="false">
      <c r="A25" s="13" t="s">
        <v>139</v>
      </c>
      <c r="B25" s="20" t="str">
        <f aca="false">INDEX(Inventory!$B$2:$B$132,MATCH(A25,Inventory!$A$2:$A$132,0))</f>
        <v>Los Angeles</v>
      </c>
      <c r="C25" s="20" t="str">
        <f aca="false">INDEX(Inventory!$C$2:$C$132,MATCH(A25,Inventory!$A$2:$A$132,0))</f>
        <v>MallVision</v>
      </c>
      <c r="D25" s="20" t="str">
        <f aca="false">INDEX(Inventory!$D$2:$D$132,MATCH(A25,Inventory!$A$2:$A$132,0))</f>
        <v>Mall</v>
      </c>
      <c r="E25" s="6" t="n">
        <v>2300</v>
      </c>
      <c r="F25" s="21" t="n">
        <f aca="false">INDEX(Inventory!$G$2:$G$132,MATCH(A25,Inventory!$A$2:$A$132,0))</f>
        <v>9.48</v>
      </c>
      <c r="G25" s="22" t="n">
        <f aca="false">IFERROR(E25/F25*1000,0)</f>
        <v>242616.033755274</v>
      </c>
      <c r="H25" s="23" t="n">
        <f aca="false">INDEX(Inventory!$H$2:$H$132,MATCH(A25,Inventory!$A$2:$A$132,0))</f>
        <v>121</v>
      </c>
      <c r="I25" s="22" t="n">
        <f aca="false">G25*Brief!$B$26*H25/100</f>
        <v>111554.852320675</v>
      </c>
      <c r="J25" s="10" t="n">
        <f aca="false">IFERROR(E25/SUMIF($B$2:$B$50,B25,$E$2:$E$50),0)</f>
        <v>0.0877862595419847</v>
      </c>
    </row>
    <row r="26" customFormat="false" ht="15" hidden="false" customHeight="false" outlineLevel="0" collapsed="false">
      <c r="A26" s="13" t="s">
        <v>136</v>
      </c>
      <c r="B26" s="20" t="str">
        <f aca="false">INDEX(Inventory!$B$2:$B$132,MATCH(A26,Inventory!$A$2:$A$132,0))</f>
        <v>Los Angeles</v>
      </c>
      <c r="C26" s="20" t="str">
        <f aca="false">INDEX(Inventory!$C$2:$C$132,MATCH(A26,Inventory!$A$2:$A$132,0))</f>
        <v>PumpPlay TV</v>
      </c>
      <c r="D26" s="20" t="str">
        <f aca="false">INDEX(Inventory!$D$2:$D$132,MATCH(A26,Inventory!$A$2:$A$132,0))</f>
        <v>Gas</v>
      </c>
      <c r="E26" s="6" t="n">
        <v>1400</v>
      </c>
      <c r="F26" s="21" t="n">
        <f aca="false">INDEX(Inventory!$G$2:$G$132,MATCH(A26,Inventory!$A$2:$A$132,0))</f>
        <v>8.42</v>
      </c>
      <c r="G26" s="22" t="n">
        <f aca="false">IFERROR(E26/F26*1000,0)</f>
        <v>166270.783847981</v>
      </c>
      <c r="H26" s="23" t="n">
        <f aca="false">INDEX(Inventory!$H$2:$H$132,MATCH(A26,Inventory!$A$2:$A$132,0))</f>
        <v>118</v>
      </c>
      <c r="I26" s="22" t="n">
        <f aca="false">G26*Brief!$B$26*H26/100</f>
        <v>74555.8194774347</v>
      </c>
      <c r="J26" s="10" t="n">
        <f aca="false">IFERROR(E26/SUMIF($B$2:$B$50,B26,$E$2:$E$50),0)</f>
        <v>0.0534351145038168</v>
      </c>
    </row>
    <row r="27" customFormat="false" ht="15" hidden="false" customHeight="false" outlineLevel="0" collapsed="false">
      <c r="A27" s="13" t="s">
        <v>119</v>
      </c>
      <c r="B27" s="20" t="str">
        <f aca="false">INDEX(Inventory!$B$2:$B$132,MATCH(A27,Inventory!$A$2:$A$132,0))</f>
        <v>Los Angeles</v>
      </c>
      <c r="C27" s="20" t="str">
        <f aca="false">INDEX(Inventory!$C$2:$C$132,MATCH(A27,Inventory!$A$2:$A$132,0))</f>
        <v>AisleCast Media</v>
      </c>
      <c r="D27" s="20" t="str">
        <f aca="false">INDEX(Inventory!$D$2:$D$132,MATCH(A27,Inventory!$A$2:$A$132,0))</f>
        <v>Grocery</v>
      </c>
      <c r="E27" s="6" t="n">
        <v>1500</v>
      </c>
      <c r="F27" s="21" t="n">
        <f aca="false">INDEX(Inventory!$G$2:$G$132,MATCH(A27,Inventory!$A$2:$A$132,0))</f>
        <v>10.79</v>
      </c>
      <c r="G27" s="22" t="n">
        <f aca="false">IFERROR(E27/F27*1000,0)</f>
        <v>139017.608897127</v>
      </c>
      <c r="H27" s="23" t="n">
        <f aca="false">INDEX(Inventory!$H$2:$H$132,MATCH(A27,Inventory!$A$2:$A$132,0))</f>
        <v>132</v>
      </c>
      <c r="I27" s="22" t="n">
        <f aca="false">G27*Brief!$B$26*H27/100</f>
        <v>69731.2326227989</v>
      </c>
      <c r="J27" s="10" t="n">
        <f aca="false">IFERROR(E27/SUMIF($B$2:$B$50,B27,$E$2:$E$50),0)</f>
        <v>0.0572519083969466</v>
      </c>
    </row>
    <row r="28" customFormat="false" ht="15" hidden="false" customHeight="false" outlineLevel="0" collapsed="false">
      <c r="A28" s="13" t="s">
        <v>138</v>
      </c>
      <c r="B28" s="20" t="str">
        <f aca="false">INDEX(Inventory!$B$2:$B$132,MATCH(A28,Inventory!$A$2:$A$132,0))</f>
        <v>Los Angeles</v>
      </c>
      <c r="C28" s="20" t="str">
        <f aca="false">INDEX(Inventory!$C$2:$C$132,MATCH(A28,Inventory!$A$2:$A$132,0))</f>
        <v>MallVision</v>
      </c>
      <c r="D28" s="20" t="str">
        <f aca="false">INDEX(Inventory!$D$2:$D$132,MATCH(A28,Inventory!$A$2:$A$132,0))</f>
        <v>Mall</v>
      </c>
      <c r="E28" s="6" t="n">
        <v>1700</v>
      </c>
      <c r="F28" s="21" t="n">
        <f aca="false">INDEX(Inventory!$G$2:$G$132,MATCH(A28,Inventory!$A$2:$A$132,0))</f>
        <v>10.87</v>
      </c>
      <c r="G28" s="22" t="n">
        <f aca="false">IFERROR(E28/F28*1000,0)</f>
        <v>156393.74425023</v>
      </c>
      <c r="H28" s="23" t="n">
        <f aca="false">INDEX(Inventory!$H$2:$H$132,MATCH(A28,Inventory!$A$2:$A$132,0))</f>
        <v>127</v>
      </c>
      <c r="I28" s="22" t="n">
        <f aca="false">G28*Brief!$B$26*H28/100</f>
        <v>75475.620975161</v>
      </c>
      <c r="J28" s="10" t="n">
        <f aca="false">IFERROR(E28/SUMIF($B$2:$B$50,B28,$E$2:$E$50),0)</f>
        <v>0.0648854961832061</v>
      </c>
    </row>
    <row r="29" customFormat="false" ht="15" hidden="false" customHeight="false" outlineLevel="0" collapsed="false">
      <c r="A29" s="13" t="s">
        <v>134</v>
      </c>
      <c r="B29" s="20" t="str">
        <f aca="false">INDEX(Inventory!$B$2:$B$132,MATCH(A29,Inventory!$A$2:$A$132,0))</f>
        <v>Los Angeles</v>
      </c>
      <c r="C29" s="20" t="str">
        <f aca="false">INDEX(Inventory!$C$2:$C$132,MATCH(A29,Inventory!$A$2:$A$132,0))</f>
        <v>PumpPlay TV</v>
      </c>
      <c r="D29" s="20" t="str">
        <f aca="false">INDEX(Inventory!$D$2:$D$132,MATCH(A29,Inventory!$A$2:$A$132,0))</f>
        <v>Gas</v>
      </c>
      <c r="E29" s="6" t="n">
        <v>900</v>
      </c>
      <c r="F29" s="21" t="n">
        <f aca="false">INDEX(Inventory!$G$2:$G$132,MATCH(A29,Inventory!$A$2:$A$132,0))</f>
        <v>8.27</v>
      </c>
      <c r="G29" s="22" t="n">
        <f aca="false">IFERROR(E29/F29*1000,0)</f>
        <v>108827.085852479</v>
      </c>
      <c r="H29" s="23" t="n">
        <f aca="false">INDEX(Inventory!$H$2:$H$132,MATCH(A29,Inventory!$A$2:$A$132,0))</f>
        <v>107</v>
      </c>
      <c r="I29" s="22" t="n">
        <f aca="false">G29*Brief!$B$26*H29/100</f>
        <v>44249.0931076179</v>
      </c>
      <c r="J29" s="10" t="n">
        <f aca="false">IFERROR(E29/SUMIF($B$2:$B$50,B29,$E$2:$E$50),0)</f>
        <v>0.0343511450381679</v>
      </c>
    </row>
    <row r="30" customFormat="false" ht="15" hidden="false" customHeight="false" outlineLevel="0" collapsed="false">
      <c r="A30" s="13" t="s">
        <v>133</v>
      </c>
      <c r="B30" s="20" t="str">
        <f aca="false">INDEX(Inventory!$B$2:$B$132,MATCH(A30,Inventory!$A$2:$A$132,0))</f>
        <v>Los Angeles</v>
      </c>
      <c r="C30" s="20" t="str">
        <f aca="false">INDEX(Inventory!$C$2:$C$132,MATCH(A30,Inventory!$A$2:$A$132,0))</f>
        <v>PumpPlay TV</v>
      </c>
      <c r="D30" s="20" t="str">
        <f aca="false">INDEX(Inventory!$D$2:$D$132,MATCH(A30,Inventory!$A$2:$A$132,0))</f>
        <v>Gas</v>
      </c>
      <c r="E30" s="6" t="n">
        <v>1700</v>
      </c>
      <c r="F30" s="21" t="n">
        <f aca="false">INDEX(Inventory!$G$2:$G$132,MATCH(A30,Inventory!$A$2:$A$132,0))</f>
        <v>8.72</v>
      </c>
      <c r="G30" s="22" t="n">
        <f aca="false">IFERROR(E30/F30*1000,0)</f>
        <v>194954.128440367</v>
      </c>
      <c r="H30" s="23" t="n">
        <f aca="false">INDEX(Inventory!$H$2:$H$132,MATCH(A30,Inventory!$A$2:$A$132,0))</f>
        <v>112</v>
      </c>
      <c r="I30" s="22" t="n">
        <f aca="false">G30*Brief!$B$26*H30/100</f>
        <v>82972.4770642202</v>
      </c>
      <c r="J30" s="10" t="n">
        <f aca="false">IFERROR(E30/SUMIF($B$2:$B$50,B30,$E$2:$E$50),0)</f>
        <v>0.0648854961832061</v>
      </c>
    </row>
    <row r="31" customFormat="false" ht="15" hidden="false" customHeight="false" outlineLevel="0" collapsed="false">
      <c r="A31" s="13" t="s">
        <v>120</v>
      </c>
      <c r="B31" s="20" t="str">
        <f aca="false">INDEX(Inventory!$B$2:$B$132,MATCH(A31,Inventory!$A$2:$A$132,0))</f>
        <v>Los Angeles</v>
      </c>
      <c r="C31" s="20" t="str">
        <f aca="false">INDEX(Inventory!$C$2:$C$132,MATCH(A31,Inventory!$A$2:$A$132,0))</f>
        <v>AisleCast Media</v>
      </c>
      <c r="D31" s="20" t="str">
        <f aca="false">INDEX(Inventory!$D$2:$D$132,MATCH(A31,Inventory!$A$2:$A$132,0))</f>
        <v>Grocery</v>
      </c>
      <c r="E31" s="6" t="n">
        <v>800</v>
      </c>
      <c r="F31" s="21" t="n">
        <f aca="false">INDEX(Inventory!$G$2:$G$132,MATCH(A31,Inventory!$A$2:$A$132,0))</f>
        <v>11.46</v>
      </c>
      <c r="G31" s="22" t="n">
        <f aca="false">IFERROR(E31/F31*1000,0)</f>
        <v>69808.0279232112</v>
      </c>
      <c r="H31" s="23" t="n">
        <f aca="false">INDEX(Inventory!$H$2:$H$132,MATCH(A31,Inventory!$A$2:$A$132,0))</f>
        <v>141</v>
      </c>
      <c r="I31" s="22" t="n">
        <f aca="false">G31*Brief!$B$26*H31/100</f>
        <v>37403.1413612565</v>
      </c>
      <c r="J31" s="10" t="n">
        <f aca="false">IFERROR(E31/SUMIF($B$2:$B$50,B31,$E$2:$E$50),0)</f>
        <v>0.0305343511450382</v>
      </c>
    </row>
    <row r="32" customFormat="false" ht="15" hidden="false" customHeight="false" outlineLevel="0" collapsed="false">
      <c r="A32" s="13" t="s">
        <v>113</v>
      </c>
      <c r="B32" s="20" t="str">
        <f aca="false">INDEX(Inventory!$B$2:$B$132,MATCH(A32,Inventory!$A$2:$A$132,0))</f>
        <v>Los Angeles</v>
      </c>
      <c r="C32" s="20" t="str">
        <f aca="false">INDEX(Inventory!$C$2:$C$132,MATCH(A32,Inventory!$A$2:$A$132,0))</f>
        <v>FitView Network</v>
      </c>
      <c r="D32" s="20" t="str">
        <f aca="false">INDEX(Inventory!$D$2:$D$132,MATCH(A32,Inventory!$A$2:$A$132,0))</f>
        <v>Gym</v>
      </c>
      <c r="E32" s="6" t="n">
        <v>800</v>
      </c>
      <c r="F32" s="21" t="n">
        <f aca="false">INDEX(Inventory!$G$2:$G$132,MATCH(A32,Inventory!$A$2:$A$132,0))</f>
        <v>9.91</v>
      </c>
      <c r="G32" s="22" t="n">
        <f aca="false">IFERROR(E32/F32*1000,0)</f>
        <v>80726.5388496468</v>
      </c>
      <c r="H32" s="23" t="n">
        <f aca="false">INDEX(Inventory!$H$2:$H$132,MATCH(A32,Inventory!$A$2:$A$132,0))</f>
        <v>123</v>
      </c>
      <c r="I32" s="22" t="n">
        <f aca="false">G32*Brief!$B$26*H32/100</f>
        <v>37731.5842583249</v>
      </c>
      <c r="J32" s="10" t="n">
        <f aca="false">IFERROR(E32/SUMIF($B$2:$B$50,B32,$E$2:$E$50),0)</f>
        <v>0.0305343511450382</v>
      </c>
    </row>
    <row r="33" customFormat="false" ht="15" hidden="false" customHeight="false" outlineLevel="0" collapsed="false">
      <c r="A33" s="13" t="s">
        <v>142</v>
      </c>
      <c r="B33" s="20" t="str">
        <f aca="false">INDEX(Inventory!$B$2:$B$132,MATCH(A33,Inventory!$A$2:$A$132,0))</f>
        <v>Los Angeles</v>
      </c>
      <c r="C33" s="20" t="str">
        <f aca="false">INDEX(Inventory!$C$2:$C$132,MATCH(A33,Inventory!$A$2:$A$132,0))</f>
        <v>MallVision</v>
      </c>
      <c r="D33" s="20" t="str">
        <f aca="false">INDEX(Inventory!$D$2:$D$132,MATCH(A33,Inventory!$A$2:$A$132,0))</f>
        <v>Mall</v>
      </c>
      <c r="E33" s="6" t="n">
        <v>2300</v>
      </c>
      <c r="F33" s="21" t="n">
        <f aca="false">INDEX(Inventory!$G$2:$G$132,MATCH(A33,Inventory!$A$2:$A$132,0))</f>
        <v>12.53</v>
      </c>
      <c r="G33" s="22" t="n">
        <f aca="false">IFERROR(E33/F33*1000,0)</f>
        <v>183559.457302474</v>
      </c>
      <c r="H33" s="23" t="n">
        <f aca="false">INDEX(Inventory!$H$2:$H$132,MATCH(A33,Inventory!$A$2:$A$132,0))</f>
        <v>134</v>
      </c>
      <c r="I33" s="22" t="n">
        <f aca="false">G33*Brief!$B$26*H33/100</f>
        <v>93468.4756584198</v>
      </c>
      <c r="J33" s="10" t="n">
        <f aca="false">IFERROR(E33/SUMIF($B$2:$B$50,B33,$E$2:$E$50),0)</f>
        <v>0.0877862595419847</v>
      </c>
    </row>
    <row r="34" customFormat="false" ht="15" hidden="false" customHeight="false" outlineLevel="0" collapsed="false">
      <c r="A34" s="13" t="s">
        <v>116</v>
      </c>
      <c r="B34" s="20" t="str">
        <f aca="false">INDEX(Inventory!$B$2:$B$132,MATCH(A34,Inventory!$A$2:$A$132,0))</f>
        <v>Los Angeles</v>
      </c>
      <c r="C34" s="20" t="str">
        <f aca="false">INDEX(Inventory!$C$2:$C$132,MATCH(A34,Inventory!$A$2:$A$132,0))</f>
        <v>AisleCast Media</v>
      </c>
      <c r="D34" s="20" t="str">
        <f aca="false">INDEX(Inventory!$D$2:$D$132,MATCH(A34,Inventory!$A$2:$A$132,0))</f>
        <v>Grocery</v>
      </c>
      <c r="E34" s="6" t="n">
        <v>900</v>
      </c>
      <c r="F34" s="21" t="n">
        <f aca="false">INDEX(Inventory!$G$2:$G$132,MATCH(A34,Inventory!$A$2:$A$132,0))</f>
        <v>13.68</v>
      </c>
      <c r="G34" s="22" t="n">
        <f aca="false">IFERROR(E34/F34*1000,0)</f>
        <v>65789.4736842105</v>
      </c>
      <c r="H34" s="23" t="n">
        <f aca="false">INDEX(Inventory!$H$2:$H$132,MATCH(A34,Inventory!$A$2:$A$132,0))</f>
        <v>159</v>
      </c>
      <c r="I34" s="22" t="n">
        <f aca="false">G34*Brief!$B$26*H34/100</f>
        <v>39750</v>
      </c>
      <c r="J34" s="10" t="n">
        <f aca="false">IFERROR(E34/SUMIF($B$2:$B$50,B34,$E$2:$E$50),0)</f>
        <v>0.0343511450381679</v>
      </c>
    </row>
    <row r="35" customFormat="false" ht="15" hidden="false" customHeight="false" outlineLevel="0" collapsed="false">
      <c r="A35" s="13" t="s">
        <v>117</v>
      </c>
      <c r="B35" s="20" t="str">
        <f aca="false">INDEX(Inventory!$B$2:$B$132,MATCH(A35,Inventory!$A$2:$A$132,0))</f>
        <v>Los Angeles</v>
      </c>
      <c r="C35" s="20" t="str">
        <f aca="false">INDEX(Inventory!$C$2:$C$132,MATCH(A35,Inventory!$A$2:$A$132,0))</f>
        <v>AisleCast Media</v>
      </c>
      <c r="D35" s="20" t="str">
        <f aca="false">INDEX(Inventory!$D$2:$D$132,MATCH(A35,Inventory!$A$2:$A$132,0))</f>
        <v>Grocery</v>
      </c>
      <c r="E35" s="6" t="n">
        <v>2600</v>
      </c>
      <c r="F35" s="21" t="n">
        <f aca="false">INDEX(Inventory!$G$2:$G$132,MATCH(A35,Inventory!$A$2:$A$132,0))</f>
        <v>14.55</v>
      </c>
      <c r="G35" s="22" t="n">
        <f aca="false">IFERROR(E35/F35*1000,0)</f>
        <v>178694.158075601</v>
      </c>
      <c r="H35" s="23" t="n">
        <f aca="false">INDEX(Inventory!$H$2:$H$132,MATCH(A35,Inventory!$A$2:$A$132,0))</f>
        <v>155</v>
      </c>
      <c r="I35" s="22" t="n">
        <f aca="false">G35*Brief!$B$26*H35/100</f>
        <v>105250.859106529</v>
      </c>
      <c r="J35" s="10" t="n">
        <f aca="false">IFERROR(E35/SUMIF($B$2:$B$50,B35,$E$2:$E$50),0)</f>
        <v>0.099236641221374</v>
      </c>
    </row>
    <row r="36" customFormat="false" ht="15" hidden="false" customHeight="false" outlineLevel="0" collapsed="false">
      <c r="A36" s="13" t="s">
        <v>132</v>
      </c>
      <c r="B36" s="20" t="str">
        <f aca="false">INDEX(Inventory!$B$2:$B$132,MATCH(A36,Inventory!$A$2:$A$132,0))</f>
        <v>Los Angeles</v>
      </c>
      <c r="C36" s="20" t="str">
        <f aca="false">INDEX(Inventory!$C$2:$C$132,MATCH(A36,Inventory!$A$2:$A$132,0))</f>
        <v>PumpPlay TV</v>
      </c>
      <c r="D36" s="20" t="str">
        <f aca="false">INDEX(Inventory!$D$2:$D$132,MATCH(A36,Inventory!$A$2:$A$132,0))</f>
        <v>Gas</v>
      </c>
      <c r="E36" s="6" t="n">
        <v>1600</v>
      </c>
      <c r="F36" s="21" t="n">
        <f aca="false">INDEX(Inventory!$G$2:$G$132,MATCH(A36,Inventory!$A$2:$A$132,0))</f>
        <v>9.99</v>
      </c>
      <c r="G36" s="22" t="n">
        <f aca="false">IFERROR(E36/F36*1000,0)</f>
        <v>160160.16016016</v>
      </c>
      <c r="H36" s="23" t="n">
        <f aca="false">INDEX(Inventory!$H$2:$H$132,MATCH(A36,Inventory!$A$2:$A$132,0))</f>
        <v>117</v>
      </c>
      <c r="I36" s="22" t="n">
        <f aca="false">G36*Brief!$B$26*H36/100</f>
        <v>71207.2072072072</v>
      </c>
      <c r="J36" s="10" t="n">
        <f aca="false">IFERROR(E36/SUMIF($B$2:$B$50,B36,$E$2:$E$50),0)</f>
        <v>0.0610687022900763</v>
      </c>
    </row>
    <row r="37" customFormat="false" ht="15" hidden="false" customHeight="false" outlineLevel="0" collapsed="false">
      <c r="A37" s="13" t="s">
        <v>107</v>
      </c>
      <c r="B37" s="20" t="str">
        <f aca="false">INDEX(Inventory!$B$2:$B$132,MATCH(A37,Inventory!$A$2:$A$132,0))</f>
        <v>Los Angeles</v>
      </c>
      <c r="C37" s="20" t="str">
        <f aca="false">INDEX(Inventory!$C$2:$C$132,MATCH(A37,Inventory!$A$2:$A$132,0))</f>
        <v>FitView Network</v>
      </c>
      <c r="D37" s="20" t="str">
        <f aca="false">INDEX(Inventory!$D$2:$D$132,MATCH(A37,Inventory!$A$2:$A$132,0))</f>
        <v>Gym</v>
      </c>
      <c r="E37" s="6" t="n">
        <v>900</v>
      </c>
      <c r="F37" s="21" t="n">
        <f aca="false">INDEX(Inventory!$G$2:$G$132,MATCH(A37,Inventory!$A$2:$A$132,0))</f>
        <v>9.95</v>
      </c>
      <c r="G37" s="22" t="n">
        <f aca="false">IFERROR(E37/F37*1000,0)</f>
        <v>90452.2613065327</v>
      </c>
      <c r="H37" s="23" t="n">
        <f aca="false">INDEX(Inventory!$H$2:$H$132,MATCH(A37,Inventory!$A$2:$A$132,0))</f>
        <v>116</v>
      </c>
      <c r="I37" s="22" t="n">
        <f aca="false">G37*Brief!$B$26*H37/100</f>
        <v>39871.3567839196</v>
      </c>
      <c r="J37" s="10" t="n">
        <f aca="false">IFERROR(E37/SUMIF($B$2:$B$50,B37,$E$2:$E$50),0)</f>
        <v>0.0343511450381679</v>
      </c>
    </row>
    <row r="38" customFormat="false" ht="15" hidden="false" customHeight="false" outlineLevel="0" collapsed="false">
      <c r="A38" s="13" t="s">
        <v>141</v>
      </c>
      <c r="B38" s="20" t="str">
        <f aca="false">INDEX(Inventory!$B$2:$B$132,MATCH(A38,Inventory!$A$2:$A$132,0))</f>
        <v>Los Angeles</v>
      </c>
      <c r="C38" s="20" t="str">
        <f aca="false">INDEX(Inventory!$C$2:$C$132,MATCH(A38,Inventory!$A$2:$A$132,0))</f>
        <v>MallVision</v>
      </c>
      <c r="D38" s="20" t="str">
        <f aca="false">INDEX(Inventory!$D$2:$D$132,MATCH(A38,Inventory!$A$2:$A$132,0))</f>
        <v>Mall</v>
      </c>
      <c r="E38" s="6" t="n">
        <v>1800</v>
      </c>
      <c r="F38" s="21" t="n">
        <f aca="false">INDEX(Inventory!$G$2:$G$132,MATCH(A38,Inventory!$A$2:$A$132,0))</f>
        <v>12.53</v>
      </c>
      <c r="G38" s="22" t="n">
        <f aca="false">IFERROR(E38/F38*1000,0)</f>
        <v>143655.22745411</v>
      </c>
      <c r="H38" s="23" t="n">
        <f aca="false">INDEX(Inventory!$H$2:$H$132,MATCH(A38,Inventory!$A$2:$A$132,0))</f>
        <v>132</v>
      </c>
      <c r="I38" s="22" t="n">
        <f aca="false">G38*Brief!$B$26*H38/100</f>
        <v>72057.4620909816</v>
      </c>
      <c r="J38" s="10" t="n">
        <f aca="false">IFERROR(E38/SUMIF($B$2:$B$50,B38,$E$2:$E$50),0)</f>
        <v>0.0687022900763359</v>
      </c>
    </row>
    <row r="39" customFormat="false" ht="15" hidden="false" customHeight="false" outlineLevel="0" collapsed="false">
      <c r="A39" s="13" t="s">
        <v>135</v>
      </c>
      <c r="B39" s="20" t="str">
        <f aca="false">INDEX(Inventory!$B$2:$B$132,MATCH(A39,Inventory!$A$2:$A$132,0))</f>
        <v>Los Angeles</v>
      </c>
      <c r="C39" s="20" t="str">
        <f aca="false">INDEX(Inventory!$C$2:$C$132,MATCH(A39,Inventory!$A$2:$A$132,0))</f>
        <v>PumpPlay TV</v>
      </c>
      <c r="D39" s="20" t="str">
        <f aca="false">INDEX(Inventory!$D$2:$D$132,MATCH(A39,Inventory!$A$2:$A$132,0))</f>
        <v>Gas</v>
      </c>
      <c r="E39" s="6" t="n">
        <v>2000</v>
      </c>
      <c r="F39" s="21" t="n">
        <f aca="false">INDEX(Inventory!$G$2:$G$132,MATCH(A39,Inventory!$A$2:$A$132,0))</f>
        <v>9.36</v>
      </c>
      <c r="G39" s="22" t="n">
        <f aca="false">IFERROR(E39/F39*1000,0)</f>
        <v>213675.213675214</v>
      </c>
      <c r="H39" s="23" t="n">
        <f aca="false">INDEX(Inventory!$H$2:$H$132,MATCH(A39,Inventory!$A$2:$A$132,0))</f>
        <v>113</v>
      </c>
      <c r="I39" s="22" t="n">
        <f aca="false">G39*Brief!$B$26*H39/100</f>
        <v>91752.1367521368</v>
      </c>
      <c r="J39" s="10" t="n">
        <f aca="false">IFERROR(E39/SUMIF($B$2:$B$50,B39,$E$2:$E$50),0)</f>
        <v>0.0763358778625954</v>
      </c>
    </row>
    <row r="40" customFormat="false" ht="15" hidden="false" customHeight="false" outlineLevel="0" collapsed="false">
      <c r="A40" s="13" t="s">
        <v>104</v>
      </c>
      <c r="B40" s="20" t="str">
        <f aca="false">INDEX(Inventory!$B$2:$B$132,MATCH(A40,Inventory!$A$2:$A$132,0))</f>
        <v>Los Angeles</v>
      </c>
      <c r="C40" s="20" t="str">
        <f aca="false">INDEX(Inventory!$C$2:$C$132,MATCH(A40,Inventory!$A$2:$A$132,0))</f>
        <v>MetroScreens</v>
      </c>
      <c r="D40" s="20" t="str">
        <f aca="false">INDEX(Inventory!$D$2:$D$132,MATCH(A40,Inventory!$A$2:$A$132,0))</f>
        <v>Transit</v>
      </c>
      <c r="E40" s="6" t="n">
        <v>500</v>
      </c>
      <c r="F40" s="21" t="n">
        <f aca="false">INDEX(Inventory!$G$2:$G$132,MATCH(A40,Inventory!$A$2:$A$132,0))</f>
        <v>8.75</v>
      </c>
      <c r="G40" s="22" t="n">
        <f aca="false">IFERROR(E40/F40*1000,0)</f>
        <v>57142.8571428571</v>
      </c>
      <c r="H40" s="23" t="n">
        <f aca="false">INDEX(Inventory!$H$2:$H$132,MATCH(A40,Inventory!$A$2:$A$132,0))</f>
        <v>102</v>
      </c>
      <c r="I40" s="22" t="n">
        <f aca="false">G40*Brief!$B$26*H40/100</f>
        <v>22148.5714285714</v>
      </c>
      <c r="J40" s="10" t="n">
        <f aca="false">IFERROR(E40/SUMIF($B$2:$B$50,B40,$E$2:$E$50),0)</f>
        <v>0.0190839694656489</v>
      </c>
    </row>
    <row r="41" customFormat="false" ht="15" hidden="false" customHeight="false" outlineLevel="0" collapsed="false">
      <c r="A41" s="13" t="s">
        <v>167</v>
      </c>
      <c r="B41" s="20" t="str">
        <f aca="false">INDEX(Inventory!$B$2:$B$132,MATCH(A41,Inventory!$A$2:$A$132,0))</f>
        <v>Chicago</v>
      </c>
      <c r="C41" s="20" t="str">
        <f aca="false">INDEX(Inventory!$C$2:$C$132,MATCH(A41,Inventory!$A$2:$A$132,0))</f>
        <v>AisleCast Media</v>
      </c>
      <c r="D41" s="20" t="str">
        <f aca="false">INDEX(Inventory!$D$2:$D$132,MATCH(A41,Inventory!$A$2:$A$132,0))</f>
        <v>Grocery</v>
      </c>
      <c r="E41" s="6" t="n">
        <v>1000</v>
      </c>
      <c r="F41" s="21" t="n">
        <f aca="false">INDEX(Inventory!$G$2:$G$132,MATCH(A41,Inventory!$A$2:$A$132,0))</f>
        <v>9.59</v>
      </c>
      <c r="G41" s="22" t="n">
        <f aca="false">IFERROR(E41/F41*1000,0)</f>
        <v>104275.286757039</v>
      </c>
      <c r="H41" s="23" t="n">
        <f aca="false">INDEX(Inventory!$H$2:$H$132,MATCH(A41,Inventory!$A$2:$A$132,0))</f>
        <v>151</v>
      </c>
      <c r="I41" s="22" t="n">
        <f aca="false">G41*Brief!$B$26*H41/100</f>
        <v>59833.1595411887</v>
      </c>
      <c r="J41" s="10" t="n">
        <f aca="false">IFERROR(E41/SUMIF($B$2:$B$50,B41,$E$2:$E$50),0)</f>
        <v>0.0666666666666667</v>
      </c>
    </row>
    <row r="42" customFormat="false" ht="15" hidden="false" customHeight="false" outlineLevel="0" collapsed="false">
      <c r="A42" s="13" t="s">
        <v>184</v>
      </c>
      <c r="B42" s="20" t="str">
        <f aca="false">INDEX(Inventory!$B$2:$B$132,MATCH(A42,Inventory!$A$2:$A$132,0))</f>
        <v>Chicago</v>
      </c>
      <c r="C42" s="20" t="str">
        <f aca="false">INDEX(Inventory!$C$2:$C$132,MATCH(A42,Inventory!$A$2:$A$132,0))</f>
        <v>MallVision</v>
      </c>
      <c r="D42" s="20" t="str">
        <f aca="false">INDEX(Inventory!$D$2:$D$132,MATCH(A42,Inventory!$A$2:$A$132,0))</f>
        <v>Mall</v>
      </c>
      <c r="E42" s="6" t="n">
        <v>1200</v>
      </c>
      <c r="F42" s="21" t="n">
        <f aca="false">INDEX(Inventory!$G$2:$G$132,MATCH(A42,Inventory!$A$2:$A$132,0))</f>
        <v>9.07</v>
      </c>
      <c r="G42" s="22" t="n">
        <f aca="false">IFERROR(E42/F42*1000,0)</f>
        <v>132304.299889746</v>
      </c>
      <c r="H42" s="23" t="n">
        <f aca="false">INDEX(Inventory!$H$2:$H$132,MATCH(A42,Inventory!$A$2:$A$132,0))</f>
        <v>134</v>
      </c>
      <c r="I42" s="22" t="n">
        <f aca="false">G42*Brief!$B$26*H42/100</f>
        <v>67369.3495038589</v>
      </c>
      <c r="J42" s="10" t="n">
        <f aca="false">IFERROR(E42/SUMIF($B$2:$B$50,B42,$E$2:$E$50),0)</f>
        <v>0.08</v>
      </c>
    </row>
    <row r="43" customFormat="false" ht="15" hidden="false" customHeight="false" outlineLevel="0" collapsed="false">
      <c r="A43" s="13" t="s">
        <v>163</v>
      </c>
      <c r="B43" s="20" t="str">
        <f aca="false">INDEX(Inventory!$B$2:$B$132,MATCH(A43,Inventory!$A$2:$A$132,0))</f>
        <v>Chicago</v>
      </c>
      <c r="C43" s="20" t="str">
        <f aca="false">INDEX(Inventory!$C$2:$C$132,MATCH(A43,Inventory!$A$2:$A$132,0))</f>
        <v>AisleCast Media</v>
      </c>
      <c r="D43" s="20" t="str">
        <f aca="false">INDEX(Inventory!$D$2:$D$132,MATCH(A43,Inventory!$A$2:$A$132,0))</f>
        <v>Grocery</v>
      </c>
      <c r="E43" s="6" t="n">
        <v>600</v>
      </c>
      <c r="F43" s="21" t="n">
        <f aca="false">INDEX(Inventory!$G$2:$G$132,MATCH(A43,Inventory!$A$2:$A$132,0))</f>
        <v>10.03</v>
      </c>
      <c r="G43" s="22" t="n">
        <f aca="false">IFERROR(E43/F43*1000,0)</f>
        <v>59820.5383848455</v>
      </c>
      <c r="H43" s="23" t="n">
        <f aca="false">INDEX(Inventory!$H$2:$H$132,MATCH(A43,Inventory!$A$2:$A$132,0))</f>
        <v>151</v>
      </c>
      <c r="I43" s="22" t="n">
        <f aca="false">G43*Brief!$B$26*H43/100</f>
        <v>34325.0249252243</v>
      </c>
      <c r="J43" s="10" t="n">
        <f aca="false">IFERROR(E43/SUMIF($B$2:$B$50,B43,$E$2:$E$50),0)</f>
        <v>0.04</v>
      </c>
    </row>
    <row r="44" customFormat="false" ht="15" hidden="false" customHeight="false" outlineLevel="0" collapsed="false">
      <c r="A44" s="13" t="s">
        <v>180</v>
      </c>
      <c r="B44" s="20" t="str">
        <f aca="false">INDEX(Inventory!$B$2:$B$132,MATCH(A44,Inventory!$A$2:$A$132,0))</f>
        <v>Chicago</v>
      </c>
      <c r="C44" s="20" t="str">
        <f aca="false">INDEX(Inventory!$C$2:$C$132,MATCH(A44,Inventory!$A$2:$A$132,0))</f>
        <v>PumpPlay TV</v>
      </c>
      <c r="D44" s="20" t="str">
        <f aca="false">INDEX(Inventory!$D$2:$D$132,MATCH(A44,Inventory!$A$2:$A$132,0))</f>
        <v>Gas</v>
      </c>
      <c r="E44" s="6" t="n">
        <v>700</v>
      </c>
      <c r="F44" s="21" t="n">
        <f aca="false">INDEX(Inventory!$G$2:$G$132,MATCH(A44,Inventory!$A$2:$A$132,0))</f>
        <v>7.11</v>
      </c>
      <c r="G44" s="22" t="n">
        <f aca="false">IFERROR(E44/F44*1000,0)</f>
        <v>98452.8832630098</v>
      </c>
      <c r="H44" s="23" t="n">
        <f aca="false">INDEX(Inventory!$H$2:$H$132,MATCH(A44,Inventory!$A$2:$A$132,0))</f>
        <v>109</v>
      </c>
      <c r="I44" s="22" t="n">
        <f aca="false">G44*Brief!$B$26*H44/100</f>
        <v>40779.1842475387</v>
      </c>
      <c r="J44" s="10" t="n">
        <f aca="false">IFERROR(E44/SUMIF($B$2:$B$50,B44,$E$2:$E$50),0)</f>
        <v>0.0466666666666667</v>
      </c>
    </row>
    <row r="45" customFormat="false" ht="15" hidden="false" customHeight="false" outlineLevel="0" collapsed="false">
      <c r="A45" s="13" t="s">
        <v>181</v>
      </c>
      <c r="B45" s="20" t="str">
        <f aca="false">INDEX(Inventory!$B$2:$B$132,MATCH(A45,Inventory!$A$2:$A$132,0))</f>
        <v>Chicago</v>
      </c>
      <c r="C45" s="20" t="str">
        <f aca="false">INDEX(Inventory!$C$2:$C$132,MATCH(A45,Inventory!$A$2:$A$132,0))</f>
        <v>MallVision</v>
      </c>
      <c r="D45" s="20" t="str">
        <f aca="false">INDEX(Inventory!$D$2:$D$132,MATCH(A45,Inventory!$A$2:$A$132,0))</f>
        <v>Mall</v>
      </c>
      <c r="E45" s="6" t="n">
        <v>2200</v>
      </c>
      <c r="F45" s="21" t="n">
        <f aca="false">INDEX(Inventory!$G$2:$G$132,MATCH(A45,Inventory!$A$2:$A$132,0))</f>
        <v>9.61</v>
      </c>
      <c r="G45" s="22" t="n">
        <f aca="false">IFERROR(E45/F45*1000,0)</f>
        <v>228928.199791883</v>
      </c>
      <c r="H45" s="23" t="n">
        <f aca="false">INDEX(Inventory!$H$2:$H$132,MATCH(A45,Inventory!$A$2:$A$132,0))</f>
        <v>130</v>
      </c>
      <c r="I45" s="22" t="n">
        <f aca="false">G45*Brief!$B$26*H45/100</f>
        <v>113090.53069719</v>
      </c>
      <c r="J45" s="10" t="n">
        <f aca="false">IFERROR(E45/SUMIF($B$2:$B$50,B45,$E$2:$E$50),0)</f>
        <v>0.146666666666667</v>
      </c>
    </row>
    <row r="46" customFormat="false" ht="15" hidden="false" customHeight="false" outlineLevel="0" collapsed="false">
      <c r="A46" s="13" t="s">
        <v>162</v>
      </c>
      <c r="B46" s="20" t="str">
        <f aca="false">INDEX(Inventory!$B$2:$B$132,MATCH(A46,Inventory!$A$2:$A$132,0))</f>
        <v>Chicago</v>
      </c>
      <c r="C46" s="20" t="str">
        <f aca="false">INDEX(Inventory!$C$2:$C$132,MATCH(A46,Inventory!$A$2:$A$132,0))</f>
        <v>AisleCast Media</v>
      </c>
      <c r="D46" s="20" t="str">
        <f aca="false">INDEX(Inventory!$D$2:$D$132,MATCH(A46,Inventory!$A$2:$A$132,0))</f>
        <v>Grocery</v>
      </c>
      <c r="E46" s="6" t="n">
        <v>1500</v>
      </c>
      <c r="F46" s="21" t="n">
        <f aca="false">INDEX(Inventory!$G$2:$G$132,MATCH(A46,Inventory!$A$2:$A$132,0))</f>
        <v>10.21</v>
      </c>
      <c r="G46" s="22" t="n">
        <f aca="false">IFERROR(E46/F46*1000,0)</f>
        <v>146914.789422135</v>
      </c>
      <c r="H46" s="23" t="n">
        <f aca="false">INDEX(Inventory!$H$2:$H$132,MATCH(A46,Inventory!$A$2:$A$132,0))</f>
        <v>148</v>
      </c>
      <c r="I46" s="22" t="n">
        <f aca="false">G46*Brief!$B$26*H46/100</f>
        <v>82624.8775710088</v>
      </c>
      <c r="J46" s="10" t="n">
        <f aca="false">IFERROR(E46/SUMIF($B$2:$B$50,B46,$E$2:$E$50),0)</f>
        <v>0.1</v>
      </c>
    </row>
    <row r="47" customFormat="false" ht="15" hidden="false" customHeight="false" outlineLevel="0" collapsed="false">
      <c r="A47" s="13" t="s">
        <v>185</v>
      </c>
      <c r="B47" s="20" t="str">
        <f aca="false">INDEX(Inventory!$B$2:$B$132,MATCH(A47,Inventory!$A$2:$A$132,0))</f>
        <v>Chicago</v>
      </c>
      <c r="C47" s="20" t="str">
        <f aca="false">INDEX(Inventory!$C$2:$C$132,MATCH(A47,Inventory!$A$2:$A$132,0))</f>
        <v>MallVision</v>
      </c>
      <c r="D47" s="20" t="str">
        <f aca="false">INDEX(Inventory!$D$2:$D$132,MATCH(A47,Inventory!$A$2:$A$132,0))</f>
        <v>Mall</v>
      </c>
      <c r="E47" s="6" t="n">
        <v>2100</v>
      </c>
      <c r="F47" s="21" t="n">
        <f aca="false">INDEX(Inventory!$G$2:$G$132,MATCH(A47,Inventory!$A$2:$A$132,0))</f>
        <v>9.18</v>
      </c>
      <c r="G47" s="22" t="n">
        <f aca="false">IFERROR(E47/F47*1000,0)</f>
        <v>228758.169934641</v>
      </c>
      <c r="H47" s="23" t="n">
        <f aca="false">INDEX(Inventory!$H$2:$H$132,MATCH(A47,Inventory!$A$2:$A$132,0))</f>
        <v>127</v>
      </c>
      <c r="I47" s="22" t="n">
        <f aca="false">G47*Brief!$B$26*H47/100</f>
        <v>110398.692810458</v>
      </c>
      <c r="J47" s="10" t="n">
        <f aca="false">IFERROR(E47/SUMIF($B$2:$B$50,B47,$E$2:$E$50),0)</f>
        <v>0.14</v>
      </c>
    </row>
    <row r="48" customFormat="false" ht="15" hidden="false" customHeight="false" outlineLevel="0" collapsed="false">
      <c r="A48" s="13" t="s">
        <v>188</v>
      </c>
      <c r="B48" s="20" t="str">
        <f aca="false">INDEX(Inventory!$B$2:$B$132,MATCH(A48,Inventory!$A$2:$A$132,0))</f>
        <v>Chicago</v>
      </c>
      <c r="C48" s="20" t="str">
        <f aca="false">INDEX(Inventory!$C$2:$C$132,MATCH(A48,Inventory!$A$2:$A$132,0))</f>
        <v>MallVision</v>
      </c>
      <c r="D48" s="20" t="str">
        <f aca="false">INDEX(Inventory!$D$2:$D$132,MATCH(A48,Inventory!$A$2:$A$132,0))</f>
        <v>Mall</v>
      </c>
      <c r="E48" s="6" t="n">
        <v>2000</v>
      </c>
      <c r="F48" s="21" t="n">
        <f aca="false">INDEX(Inventory!$G$2:$G$132,MATCH(A48,Inventory!$A$2:$A$132,0))</f>
        <v>9.48</v>
      </c>
      <c r="G48" s="22" t="n">
        <f aca="false">IFERROR(E48/F48*1000,0)</f>
        <v>210970.464135021</v>
      </c>
      <c r="H48" s="23" t="n">
        <f aca="false">INDEX(Inventory!$H$2:$H$132,MATCH(A48,Inventory!$A$2:$A$132,0))</f>
        <v>123</v>
      </c>
      <c r="I48" s="22" t="n">
        <f aca="false">G48*Brief!$B$26*H48/100</f>
        <v>98607.5949367089</v>
      </c>
      <c r="J48" s="10" t="n">
        <f aca="false">IFERROR(E48/SUMIF($B$2:$B$50,B48,$E$2:$E$50),0)</f>
        <v>0.133333333333333</v>
      </c>
    </row>
    <row r="49" customFormat="false" ht="15" hidden="false" customHeight="false" outlineLevel="0" collapsed="false">
      <c r="A49" s="13" t="s">
        <v>165</v>
      </c>
      <c r="B49" s="20" t="str">
        <f aca="false">INDEX(Inventory!$B$2:$B$132,MATCH(A49,Inventory!$A$2:$A$132,0))</f>
        <v>Chicago</v>
      </c>
      <c r="C49" s="20" t="str">
        <f aca="false">INDEX(Inventory!$C$2:$C$132,MATCH(A49,Inventory!$A$2:$A$132,0))</f>
        <v>AisleCast Media</v>
      </c>
      <c r="D49" s="20" t="str">
        <f aca="false">INDEX(Inventory!$D$2:$D$132,MATCH(A49,Inventory!$A$2:$A$132,0))</f>
        <v>Grocery</v>
      </c>
      <c r="E49" s="6" t="n">
        <v>2100</v>
      </c>
      <c r="F49" s="21" t="n">
        <f aca="false">INDEX(Inventory!$G$2:$G$132,MATCH(A49,Inventory!$A$2:$A$132,0))</f>
        <v>11.66</v>
      </c>
      <c r="G49" s="22" t="n">
        <f aca="false">IFERROR(E49/F49*1000,0)</f>
        <v>180102.915951973</v>
      </c>
      <c r="H49" s="23" t="n">
        <f aca="false">INDEX(Inventory!$H$2:$H$132,MATCH(A49,Inventory!$A$2:$A$132,0))</f>
        <v>159</v>
      </c>
      <c r="I49" s="22" t="n">
        <f aca="false">G49*Brief!$B$26*H49/100</f>
        <v>108818.181818182</v>
      </c>
      <c r="J49" s="10" t="n">
        <f aca="false">IFERROR(E49/SUMIF($B$2:$B$50,B49,$E$2:$E$50),0)</f>
        <v>0.14</v>
      </c>
    </row>
    <row r="50" customFormat="false" ht="15" hidden="false" customHeight="false" outlineLevel="0" collapsed="false">
      <c r="A50" s="13" t="s">
        <v>186</v>
      </c>
      <c r="B50" s="20" t="str">
        <f aca="false">INDEX(Inventory!$B$2:$B$132,MATCH(A50,Inventory!$A$2:$A$132,0))</f>
        <v>Chicago</v>
      </c>
      <c r="C50" s="20" t="str">
        <f aca="false">INDEX(Inventory!$C$2:$C$132,MATCH(A50,Inventory!$A$2:$A$132,0))</f>
        <v>MallVision</v>
      </c>
      <c r="D50" s="20" t="str">
        <f aca="false">INDEX(Inventory!$D$2:$D$132,MATCH(A50,Inventory!$A$2:$A$132,0))</f>
        <v>Mall</v>
      </c>
      <c r="E50" s="6" t="n">
        <v>1600</v>
      </c>
      <c r="F50" s="21" t="n">
        <f aca="false">INDEX(Inventory!$G$2:$G$132,MATCH(A50,Inventory!$A$2:$A$132,0))</f>
        <v>9.96</v>
      </c>
      <c r="G50" s="22" t="n">
        <f aca="false">IFERROR(E50/F50*1000,0)</f>
        <v>160642.570281124</v>
      </c>
      <c r="H50" s="23" t="n">
        <f aca="false">INDEX(Inventory!$H$2:$H$132,MATCH(A50,Inventory!$A$2:$A$132,0))</f>
        <v>129</v>
      </c>
      <c r="I50" s="22" t="n">
        <f aca="false">G50*Brief!$B$26*H50/100</f>
        <v>78746.9879518072</v>
      </c>
      <c r="J50" s="10" t="n">
        <f aca="false">IFERROR(E50/SUMIF($B$2:$B$50,B50,$E$2:$E$50),0)</f>
        <v>0.106666666666667</v>
      </c>
    </row>
    <row r="51" customFormat="false" ht="15" hidden="false" customHeight="false" outlineLevel="0" collapsed="false">
      <c r="A51" s="24" t="s">
        <v>197</v>
      </c>
      <c r="B51" s="25"/>
      <c r="C51" s="25"/>
      <c r="D51" s="25"/>
      <c r="E51" s="26" t="n">
        <f aca="false">SUM(E2:E50)</f>
        <v>74900</v>
      </c>
      <c r="F51" s="27" t="n">
        <f aca="false">IFERROR(E51/G51*1000,0)</f>
        <v>10.542850503175</v>
      </c>
      <c r="G51" s="28" t="n">
        <f aca="false">SUM(G2:G50)</f>
        <v>7104340.51753304</v>
      </c>
      <c r="H51" s="25"/>
      <c r="I51" s="28" t="n">
        <f aca="false">SUM(I2:I50)</f>
        <v>3406451.77602022</v>
      </c>
      <c r="J51" s="25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4" t="s">
        <v>198</v>
      </c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5" hidden="false" customHeight="false" outlineLevel="0" collapsed="false">
      <c r="A54" s="29" t="s">
        <v>31</v>
      </c>
      <c r="B54" s="29" t="s">
        <v>199</v>
      </c>
      <c r="C54" s="29" t="s">
        <v>192</v>
      </c>
      <c r="D54" s="29" t="s">
        <v>200</v>
      </c>
      <c r="E54" s="29" t="s">
        <v>194</v>
      </c>
      <c r="F54" s="29" t="s">
        <v>201</v>
      </c>
      <c r="G54" s="29" t="s">
        <v>202</v>
      </c>
      <c r="H54" s="2"/>
      <c r="I54" s="2"/>
      <c r="J54" s="2"/>
    </row>
    <row r="55" customFormat="false" ht="15" hidden="false" customHeight="false" outlineLevel="0" collapsed="false">
      <c r="A55" s="2" t="s">
        <v>15</v>
      </c>
      <c r="B55" s="30" t="n">
        <f aca="false">Brief!$C$13</f>
        <v>33750</v>
      </c>
      <c r="C55" s="8" t="n">
        <f aca="false">SUMIF($B$2:$B$50,A55,$E$2:$E$50)</f>
        <v>33700</v>
      </c>
      <c r="D55" s="8" t="n">
        <f aca="false">B55-C55</f>
        <v>50</v>
      </c>
      <c r="E55" s="22" t="n">
        <f aca="false">SUMIF($B$2:$B$50,A55,$G$2:$G$50)</f>
        <v>3058528.34544933</v>
      </c>
      <c r="F55" s="18" t="n">
        <f aca="false">IFERROR(C55/E55*1000,0)</f>
        <v>11.0183709920952</v>
      </c>
      <c r="G55" s="19" t="n">
        <f aca="false">COUNTIF($B$2:$B$50,A55)</f>
        <v>21</v>
      </c>
      <c r="H55" s="2"/>
      <c r="I55" s="2"/>
      <c r="J55" s="2"/>
    </row>
    <row r="56" customFormat="false" ht="15" hidden="false" customHeight="false" outlineLevel="0" collapsed="false">
      <c r="A56" s="2" t="s">
        <v>16</v>
      </c>
      <c r="B56" s="30" t="n">
        <f aca="false">Brief!$C$14</f>
        <v>26250</v>
      </c>
      <c r="C56" s="8" t="n">
        <f aca="false">SUMIF($B$2:$B$50,A56,$E$2:$E$50)</f>
        <v>26200</v>
      </c>
      <c r="D56" s="8" t="n">
        <f aca="false">B56-C56</f>
        <v>50</v>
      </c>
      <c r="E56" s="22" t="n">
        <f aca="false">SUMIF($B$2:$B$50,A56,$G$2:$G$50)</f>
        <v>2494642.05427229</v>
      </c>
      <c r="F56" s="18" t="n">
        <f aca="false">IFERROR(C56/E56*1000,0)</f>
        <v>10.5025087487522</v>
      </c>
      <c r="G56" s="19" t="n">
        <f aca="false">COUNTIF($B$2:$B$50,A56)</f>
        <v>18</v>
      </c>
      <c r="H56" s="2"/>
      <c r="I56" s="2"/>
      <c r="J56" s="2"/>
    </row>
    <row r="57" customFormat="false" ht="15" hidden="false" customHeight="false" outlineLevel="0" collapsed="false">
      <c r="A57" s="2" t="s">
        <v>17</v>
      </c>
      <c r="B57" s="30" t="n">
        <f aca="false">Brief!$C$15</f>
        <v>15000</v>
      </c>
      <c r="C57" s="8" t="n">
        <f aca="false">SUMIF($B$2:$B$50,A57,$E$2:$E$50)</f>
        <v>15000</v>
      </c>
      <c r="D57" s="8" t="n">
        <f aca="false">B57-C57</f>
        <v>0</v>
      </c>
      <c r="E57" s="22" t="n">
        <f aca="false">SUMIF($B$2:$B$50,A57,$G$2:$G$50)</f>
        <v>1551170.11781142</v>
      </c>
      <c r="F57" s="18" t="n">
        <f aca="false">IFERROR(C57/E57*1000,0)</f>
        <v>9.67011923950924</v>
      </c>
      <c r="G57" s="19" t="n">
        <f aca="false">COUNTIF($B$2:$B$50,A57)</f>
        <v>10</v>
      </c>
      <c r="H57" s="2"/>
      <c r="I57" s="2"/>
      <c r="J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A59" s="3" t="s">
        <v>203</v>
      </c>
      <c r="B59" s="2"/>
      <c r="C59" s="2"/>
      <c r="D59" s="2"/>
      <c r="E59" s="2"/>
      <c r="F59" s="2"/>
      <c r="G59" s="2"/>
      <c r="H59" s="2"/>
      <c r="I59" s="2"/>
      <c r="J5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6" min="5" style="0" width="18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2" t="s">
        <v>204</v>
      </c>
      <c r="B1" s="12" t="s">
        <v>205</v>
      </c>
      <c r="C1" s="12" t="s">
        <v>30</v>
      </c>
      <c r="D1" s="12" t="s">
        <v>31</v>
      </c>
      <c r="E1" s="12" t="s">
        <v>32</v>
      </c>
      <c r="F1" s="12" t="s">
        <v>206</v>
      </c>
      <c r="G1" s="12" t="s">
        <v>207</v>
      </c>
    </row>
    <row r="2" customFormat="false" ht="15" hidden="false" customHeight="false" outlineLevel="0" collapsed="false">
      <c r="A2" s="13" t="s">
        <v>9</v>
      </c>
      <c r="B2" s="13" t="n">
        <v>1</v>
      </c>
      <c r="C2" s="13" t="s">
        <v>85</v>
      </c>
      <c r="D2" s="13" t="s">
        <v>15</v>
      </c>
      <c r="E2" s="13" t="s">
        <v>83</v>
      </c>
      <c r="F2" s="14" t="n">
        <v>4333</v>
      </c>
      <c r="G2" s="15" t="n">
        <v>37.87</v>
      </c>
    </row>
    <row r="3" customFormat="false" ht="15" hidden="false" customHeight="false" outlineLevel="0" collapsed="false">
      <c r="A3" s="13" t="s">
        <v>208</v>
      </c>
      <c r="B3" s="13" t="n">
        <v>2</v>
      </c>
      <c r="C3" s="13" t="s">
        <v>85</v>
      </c>
      <c r="D3" s="13" t="s">
        <v>15</v>
      </c>
      <c r="E3" s="13" t="s">
        <v>83</v>
      </c>
      <c r="F3" s="14" t="n">
        <v>4375</v>
      </c>
      <c r="G3" s="15" t="n">
        <v>38.24</v>
      </c>
    </row>
    <row r="4" customFormat="false" ht="15" hidden="false" customHeight="false" outlineLevel="0" collapsed="false">
      <c r="A4" s="13" t="s">
        <v>209</v>
      </c>
      <c r="B4" s="13" t="n">
        <v>3</v>
      </c>
      <c r="C4" s="13" t="s">
        <v>85</v>
      </c>
      <c r="D4" s="13" t="s">
        <v>15</v>
      </c>
      <c r="E4" s="13" t="s">
        <v>83</v>
      </c>
      <c r="F4" s="14" t="n">
        <v>4443</v>
      </c>
      <c r="G4" s="15" t="n">
        <v>38.83</v>
      </c>
    </row>
    <row r="5" customFormat="false" ht="15" hidden="false" customHeight="false" outlineLevel="0" collapsed="false">
      <c r="A5" s="13" t="s">
        <v>210</v>
      </c>
      <c r="B5" s="13" t="n">
        <v>4</v>
      </c>
      <c r="C5" s="13" t="s">
        <v>85</v>
      </c>
      <c r="D5" s="13" t="s">
        <v>15</v>
      </c>
      <c r="E5" s="13" t="s">
        <v>83</v>
      </c>
      <c r="F5" s="14" t="n">
        <v>4221</v>
      </c>
      <c r="G5" s="15" t="n">
        <v>36.89</v>
      </c>
    </row>
    <row r="6" customFormat="false" ht="15" hidden="false" customHeight="false" outlineLevel="0" collapsed="false">
      <c r="A6" s="13" t="s">
        <v>211</v>
      </c>
      <c r="B6" s="13" t="n">
        <v>5</v>
      </c>
      <c r="C6" s="13" t="s">
        <v>85</v>
      </c>
      <c r="D6" s="13" t="s">
        <v>15</v>
      </c>
      <c r="E6" s="13" t="s">
        <v>83</v>
      </c>
      <c r="F6" s="14" t="n">
        <v>4425</v>
      </c>
      <c r="G6" s="15" t="n">
        <v>38.67</v>
      </c>
    </row>
    <row r="7" customFormat="false" ht="15" hidden="false" customHeight="false" outlineLevel="0" collapsed="false">
      <c r="A7" s="13" t="s">
        <v>212</v>
      </c>
      <c r="B7" s="13" t="n">
        <v>6</v>
      </c>
      <c r="C7" s="13" t="s">
        <v>85</v>
      </c>
      <c r="D7" s="13" t="s">
        <v>15</v>
      </c>
      <c r="E7" s="13" t="s">
        <v>83</v>
      </c>
      <c r="F7" s="14" t="n">
        <v>4440</v>
      </c>
      <c r="G7" s="15" t="n">
        <v>38.81</v>
      </c>
    </row>
    <row r="8" customFormat="false" ht="15" hidden="false" customHeight="false" outlineLevel="0" collapsed="false">
      <c r="A8" s="13" t="s">
        <v>213</v>
      </c>
      <c r="B8" s="13" t="n">
        <v>7</v>
      </c>
      <c r="C8" s="13" t="s">
        <v>85</v>
      </c>
      <c r="D8" s="13" t="s">
        <v>15</v>
      </c>
      <c r="E8" s="13" t="s">
        <v>83</v>
      </c>
      <c r="F8" s="14" t="n">
        <v>4909</v>
      </c>
      <c r="G8" s="15" t="n">
        <v>42.9</v>
      </c>
    </row>
    <row r="9" customFormat="false" ht="15" hidden="false" customHeight="false" outlineLevel="0" collapsed="false">
      <c r="A9" s="13" t="s">
        <v>214</v>
      </c>
      <c r="B9" s="13" t="n">
        <v>8</v>
      </c>
      <c r="C9" s="13" t="s">
        <v>85</v>
      </c>
      <c r="D9" s="13" t="s">
        <v>15</v>
      </c>
      <c r="E9" s="13" t="s">
        <v>83</v>
      </c>
      <c r="F9" s="14" t="n">
        <v>3878</v>
      </c>
      <c r="G9" s="15" t="n">
        <v>33.89</v>
      </c>
    </row>
    <row r="10" customFormat="false" ht="15" hidden="false" customHeight="false" outlineLevel="0" collapsed="false">
      <c r="A10" s="13" t="s">
        <v>215</v>
      </c>
      <c r="B10" s="13" t="n">
        <v>9</v>
      </c>
      <c r="C10" s="13" t="s">
        <v>85</v>
      </c>
      <c r="D10" s="13" t="s">
        <v>15</v>
      </c>
      <c r="E10" s="13" t="s">
        <v>83</v>
      </c>
      <c r="F10" s="14" t="n">
        <v>4120</v>
      </c>
      <c r="G10" s="15" t="n">
        <v>36.01</v>
      </c>
    </row>
    <row r="11" customFormat="false" ht="15" hidden="false" customHeight="false" outlineLevel="0" collapsed="false">
      <c r="A11" s="13" t="s">
        <v>216</v>
      </c>
      <c r="B11" s="13" t="n">
        <v>10</v>
      </c>
      <c r="C11" s="13" t="s">
        <v>85</v>
      </c>
      <c r="D11" s="13" t="s">
        <v>15</v>
      </c>
      <c r="E11" s="13" t="s">
        <v>83</v>
      </c>
      <c r="F11" s="14" t="n">
        <v>3951</v>
      </c>
      <c r="G11" s="15" t="n">
        <v>34.53</v>
      </c>
    </row>
    <row r="12" customFormat="false" ht="15" hidden="false" customHeight="false" outlineLevel="0" collapsed="false">
      <c r="A12" s="13" t="s">
        <v>217</v>
      </c>
      <c r="B12" s="13" t="n">
        <v>11</v>
      </c>
      <c r="C12" s="13" t="s">
        <v>85</v>
      </c>
      <c r="D12" s="13" t="s">
        <v>15</v>
      </c>
      <c r="E12" s="13" t="s">
        <v>83</v>
      </c>
      <c r="F12" s="14" t="n">
        <v>4050</v>
      </c>
      <c r="G12" s="15" t="n">
        <v>35.4</v>
      </c>
    </row>
    <row r="13" customFormat="false" ht="15" hidden="false" customHeight="false" outlineLevel="0" collapsed="false">
      <c r="A13" s="13" t="s">
        <v>218</v>
      </c>
      <c r="B13" s="13" t="n">
        <v>12</v>
      </c>
      <c r="C13" s="13" t="s">
        <v>85</v>
      </c>
      <c r="D13" s="13" t="s">
        <v>15</v>
      </c>
      <c r="E13" s="13" t="s">
        <v>83</v>
      </c>
      <c r="F13" s="14" t="n">
        <v>4553</v>
      </c>
      <c r="G13" s="15" t="n">
        <v>39.79</v>
      </c>
    </row>
    <row r="14" customFormat="false" ht="15" hidden="false" customHeight="false" outlineLevel="0" collapsed="false">
      <c r="A14" s="13" t="s">
        <v>219</v>
      </c>
      <c r="B14" s="13" t="n">
        <v>13</v>
      </c>
      <c r="C14" s="13" t="s">
        <v>85</v>
      </c>
      <c r="D14" s="13" t="s">
        <v>15</v>
      </c>
      <c r="E14" s="13" t="s">
        <v>83</v>
      </c>
      <c r="F14" s="14" t="n">
        <v>4954</v>
      </c>
      <c r="G14" s="15" t="n">
        <v>43.3</v>
      </c>
    </row>
    <row r="15" customFormat="false" ht="15" hidden="false" customHeight="false" outlineLevel="0" collapsed="false">
      <c r="A15" s="13" t="s">
        <v>220</v>
      </c>
      <c r="B15" s="13" t="n">
        <v>14</v>
      </c>
      <c r="C15" s="13" t="s">
        <v>85</v>
      </c>
      <c r="D15" s="13" t="s">
        <v>15</v>
      </c>
      <c r="E15" s="13" t="s">
        <v>83</v>
      </c>
      <c r="F15" s="14" t="n">
        <v>5129</v>
      </c>
      <c r="G15" s="15" t="n">
        <v>44.83</v>
      </c>
    </row>
    <row r="16" customFormat="false" ht="15" hidden="false" customHeight="false" outlineLevel="0" collapsed="false">
      <c r="A16" s="13" t="s">
        <v>9</v>
      </c>
      <c r="B16" s="13" t="n">
        <v>1</v>
      </c>
      <c r="C16" s="13" t="s">
        <v>96</v>
      </c>
      <c r="D16" s="13" t="s">
        <v>15</v>
      </c>
      <c r="E16" s="13" t="s">
        <v>92</v>
      </c>
      <c r="F16" s="14" t="n">
        <v>4619</v>
      </c>
      <c r="G16" s="15" t="n">
        <v>51.64</v>
      </c>
    </row>
    <row r="17" customFormat="false" ht="15" hidden="false" customHeight="false" outlineLevel="0" collapsed="false">
      <c r="A17" s="13" t="s">
        <v>208</v>
      </c>
      <c r="B17" s="13" t="n">
        <v>2</v>
      </c>
      <c r="C17" s="13" t="s">
        <v>96</v>
      </c>
      <c r="D17" s="13" t="s">
        <v>15</v>
      </c>
      <c r="E17" s="13" t="s">
        <v>92</v>
      </c>
      <c r="F17" s="14" t="n">
        <v>4706</v>
      </c>
      <c r="G17" s="15" t="n">
        <v>52.61</v>
      </c>
    </row>
    <row r="18" customFormat="false" ht="15" hidden="false" customHeight="false" outlineLevel="0" collapsed="false">
      <c r="A18" s="13" t="s">
        <v>209</v>
      </c>
      <c r="B18" s="13" t="n">
        <v>3</v>
      </c>
      <c r="C18" s="13" t="s">
        <v>96</v>
      </c>
      <c r="D18" s="13" t="s">
        <v>15</v>
      </c>
      <c r="E18" s="13" t="s">
        <v>92</v>
      </c>
      <c r="F18" s="14" t="n">
        <v>4686</v>
      </c>
      <c r="G18" s="15" t="n">
        <v>52.39</v>
      </c>
    </row>
    <row r="19" customFormat="false" ht="15" hidden="false" customHeight="false" outlineLevel="0" collapsed="false">
      <c r="A19" s="13" t="s">
        <v>210</v>
      </c>
      <c r="B19" s="13" t="n">
        <v>4</v>
      </c>
      <c r="C19" s="13" t="s">
        <v>96</v>
      </c>
      <c r="D19" s="13" t="s">
        <v>15</v>
      </c>
      <c r="E19" s="13" t="s">
        <v>92</v>
      </c>
      <c r="F19" s="14" t="n">
        <v>4810</v>
      </c>
      <c r="G19" s="15" t="n">
        <v>53.78</v>
      </c>
    </row>
    <row r="20" customFormat="false" ht="15" hidden="false" customHeight="false" outlineLevel="0" collapsed="false">
      <c r="A20" s="13" t="s">
        <v>211</v>
      </c>
      <c r="B20" s="13" t="n">
        <v>5</v>
      </c>
      <c r="C20" s="13" t="s">
        <v>96</v>
      </c>
      <c r="D20" s="13" t="s">
        <v>15</v>
      </c>
      <c r="E20" s="13" t="s">
        <v>92</v>
      </c>
      <c r="F20" s="14" t="n">
        <v>5012</v>
      </c>
      <c r="G20" s="15" t="n">
        <v>56.03</v>
      </c>
    </row>
    <row r="21" customFormat="false" ht="15" hidden="false" customHeight="false" outlineLevel="0" collapsed="false">
      <c r="A21" s="13" t="s">
        <v>212</v>
      </c>
      <c r="B21" s="13" t="n">
        <v>6</v>
      </c>
      <c r="C21" s="13" t="s">
        <v>96</v>
      </c>
      <c r="D21" s="13" t="s">
        <v>15</v>
      </c>
      <c r="E21" s="13" t="s">
        <v>92</v>
      </c>
      <c r="F21" s="14" t="n">
        <v>6297</v>
      </c>
      <c r="G21" s="15" t="n">
        <v>70.4</v>
      </c>
    </row>
    <row r="22" customFormat="false" ht="15" hidden="false" customHeight="false" outlineLevel="0" collapsed="false">
      <c r="A22" s="13" t="s">
        <v>213</v>
      </c>
      <c r="B22" s="13" t="n">
        <v>7</v>
      </c>
      <c r="C22" s="13" t="s">
        <v>96</v>
      </c>
      <c r="D22" s="13" t="s">
        <v>15</v>
      </c>
      <c r="E22" s="13" t="s">
        <v>92</v>
      </c>
      <c r="F22" s="14" t="n">
        <v>5837</v>
      </c>
      <c r="G22" s="15" t="n">
        <v>65.26</v>
      </c>
    </row>
    <row r="23" customFormat="false" ht="15" hidden="false" customHeight="false" outlineLevel="0" collapsed="false">
      <c r="A23" s="13" t="s">
        <v>214</v>
      </c>
      <c r="B23" s="13" t="n">
        <v>8</v>
      </c>
      <c r="C23" s="13" t="s">
        <v>96</v>
      </c>
      <c r="D23" s="13" t="s">
        <v>15</v>
      </c>
      <c r="E23" s="13" t="s">
        <v>92</v>
      </c>
      <c r="F23" s="14" t="n">
        <v>4850</v>
      </c>
      <c r="G23" s="15" t="n">
        <v>54.22</v>
      </c>
    </row>
    <row r="24" customFormat="false" ht="15" hidden="false" customHeight="false" outlineLevel="0" collapsed="false">
      <c r="A24" s="13" t="s">
        <v>215</v>
      </c>
      <c r="B24" s="13" t="n">
        <v>9</v>
      </c>
      <c r="C24" s="13" t="s">
        <v>96</v>
      </c>
      <c r="D24" s="13" t="s">
        <v>15</v>
      </c>
      <c r="E24" s="13" t="s">
        <v>92</v>
      </c>
      <c r="F24" s="14" t="n">
        <v>4361</v>
      </c>
      <c r="G24" s="15" t="n">
        <v>48.76</v>
      </c>
    </row>
    <row r="25" customFormat="false" ht="15" hidden="false" customHeight="false" outlineLevel="0" collapsed="false">
      <c r="A25" s="13" t="s">
        <v>216</v>
      </c>
      <c r="B25" s="13" t="n">
        <v>10</v>
      </c>
      <c r="C25" s="13" t="s">
        <v>96</v>
      </c>
      <c r="D25" s="13" t="s">
        <v>15</v>
      </c>
      <c r="E25" s="13" t="s">
        <v>92</v>
      </c>
      <c r="F25" s="14" t="n">
        <v>4660</v>
      </c>
      <c r="G25" s="15" t="n">
        <v>52.1</v>
      </c>
    </row>
    <row r="26" customFormat="false" ht="15" hidden="false" customHeight="false" outlineLevel="0" collapsed="false">
      <c r="A26" s="13" t="s">
        <v>217</v>
      </c>
      <c r="B26" s="13" t="n">
        <v>11</v>
      </c>
      <c r="C26" s="13" t="s">
        <v>96</v>
      </c>
      <c r="D26" s="13" t="s">
        <v>15</v>
      </c>
      <c r="E26" s="13" t="s">
        <v>92</v>
      </c>
      <c r="F26" s="14" t="n">
        <v>4949</v>
      </c>
      <c r="G26" s="15" t="n">
        <v>55.33</v>
      </c>
    </row>
    <row r="27" customFormat="false" ht="15" hidden="false" customHeight="false" outlineLevel="0" collapsed="false">
      <c r="A27" s="13" t="s">
        <v>218</v>
      </c>
      <c r="B27" s="13" t="n">
        <v>12</v>
      </c>
      <c r="C27" s="13" t="s">
        <v>96</v>
      </c>
      <c r="D27" s="13" t="s">
        <v>15</v>
      </c>
      <c r="E27" s="13" t="s">
        <v>92</v>
      </c>
      <c r="F27" s="14" t="n">
        <v>4928</v>
      </c>
      <c r="G27" s="15" t="n">
        <v>55.1</v>
      </c>
    </row>
    <row r="28" customFormat="false" ht="15" hidden="false" customHeight="false" outlineLevel="0" collapsed="false">
      <c r="A28" s="13" t="s">
        <v>219</v>
      </c>
      <c r="B28" s="13" t="n">
        <v>13</v>
      </c>
      <c r="C28" s="13" t="s">
        <v>96</v>
      </c>
      <c r="D28" s="13" t="s">
        <v>15</v>
      </c>
      <c r="E28" s="13" t="s">
        <v>92</v>
      </c>
      <c r="F28" s="14" t="n">
        <v>5804</v>
      </c>
      <c r="G28" s="15" t="n">
        <v>64.89</v>
      </c>
    </row>
    <row r="29" customFormat="false" ht="15" hidden="false" customHeight="false" outlineLevel="0" collapsed="false">
      <c r="A29" s="13" t="s">
        <v>220</v>
      </c>
      <c r="B29" s="13" t="n">
        <v>14</v>
      </c>
      <c r="C29" s="13" t="s">
        <v>96</v>
      </c>
      <c r="D29" s="13" t="s">
        <v>15</v>
      </c>
      <c r="E29" s="13" t="s">
        <v>92</v>
      </c>
      <c r="F29" s="14" t="n">
        <v>6036</v>
      </c>
      <c r="G29" s="15" t="n">
        <v>67.48</v>
      </c>
    </row>
    <row r="30" customFormat="false" ht="15" hidden="false" customHeight="false" outlineLevel="0" collapsed="false">
      <c r="A30" s="13" t="s">
        <v>9</v>
      </c>
      <c r="B30" s="13" t="n">
        <v>1</v>
      </c>
      <c r="C30" s="13" t="s">
        <v>67</v>
      </c>
      <c r="D30" s="13" t="s">
        <v>15</v>
      </c>
      <c r="E30" s="13" t="s">
        <v>65</v>
      </c>
      <c r="F30" s="14" t="n">
        <v>2838</v>
      </c>
      <c r="G30" s="15" t="n">
        <v>37.63</v>
      </c>
    </row>
    <row r="31" customFormat="false" ht="15" hidden="false" customHeight="false" outlineLevel="0" collapsed="false">
      <c r="A31" s="13" t="s">
        <v>208</v>
      </c>
      <c r="B31" s="13" t="n">
        <v>2</v>
      </c>
      <c r="C31" s="13" t="s">
        <v>67</v>
      </c>
      <c r="D31" s="13" t="s">
        <v>15</v>
      </c>
      <c r="E31" s="13" t="s">
        <v>65</v>
      </c>
      <c r="F31" s="14" t="n">
        <v>2956</v>
      </c>
      <c r="G31" s="15" t="n">
        <v>39.2</v>
      </c>
    </row>
    <row r="32" customFormat="false" ht="15" hidden="false" customHeight="false" outlineLevel="0" collapsed="false">
      <c r="A32" s="13" t="s">
        <v>209</v>
      </c>
      <c r="B32" s="13" t="n">
        <v>3</v>
      </c>
      <c r="C32" s="13" t="s">
        <v>67</v>
      </c>
      <c r="D32" s="13" t="s">
        <v>15</v>
      </c>
      <c r="E32" s="13" t="s">
        <v>65</v>
      </c>
      <c r="F32" s="14" t="n">
        <v>2805</v>
      </c>
      <c r="G32" s="15" t="n">
        <v>37.19</v>
      </c>
    </row>
    <row r="33" customFormat="false" ht="15" hidden="false" customHeight="false" outlineLevel="0" collapsed="false">
      <c r="A33" s="13" t="s">
        <v>210</v>
      </c>
      <c r="B33" s="13" t="n">
        <v>4</v>
      </c>
      <c r="C33" s="13" t="s">
        <v>67</v>
      </c>
      <c r="D33" s="13" t="s">
        <v>15</v>
      </c>
      <c r="E33" s="13" t="s">
        <v>65</v>
      </c>
      <c r="F33" s="14" t="n">
        <v>2698</v>
      </c>
      <c r="G33" s="15" t="n">
        <v>35.78</v>
      </c>
    </row>
    <row r="34" customFormat="false" ht="15" hidden="false" customHeight="false" outlineLevel="0" collapsed="false">
      <c r="A34" s="13" t="s">
        <v>211</v>
      </c>
      <c r="B34" s="13" t="n">
        <v>5</v>
      </c>
      <c r="C34" s="13" t="s">
        <v>67</v>
      </c>
      <c r="D34" s="13" t="s">
        <v>15</v>
      </c>
      <c r="E34" s="13" t="s">
        <v>65</v>
      </c>
      <c r="F34" s="14" t="n">
        <v>2813</v>
      </c>
      <c r="G34" s="15" t="n">
        <v>37.3</v>
      </c>
    </row>
    <row r="35" customFormat="false" ht="15" hidden="false" customHeight="false" outlineLevel="0" collapsed="false">
      <c r="A35" s="13" t="s">
        <v>212</v>
      </c>
      <c r="B35" s="13" t="n">
        <v>6</v>
      </c>
      <c r="C35" s="13" t="s">
        <v>67</v>
      </c>
      <c r="D35" s="13" t="s">
        <v>15</v>
      </c>
      <c r="E35" s="13" t="s">
        <v>65</v>
      </c>
      <c r="F35" s="14" t="n">
        <v>2780</v>
      </c>
      <c r="G35" s="15" t="n">
        <v>36.86</v>
      </c>
    </row>
    <row r="36" customFormat="false" ht="15" hidden="false" customHeight="false" outlineLevel="0" collapsed="false">
      <c r="A36" s="13" t="s">
        <v>213</v>
      </c>
      <c r="B36" s="13" t="n">
        <v>7</v>
      </c>
      <c r="C36" s="13" t="s">
        <v>67</v>
      </c>
      <c r="D36" s="13" t="s">
        <v>15</v>
      </c>
      <c r="E36" s="13" t="s">
        <v>65</v>
      </c>
      <c r="F36" s="14" t="n">
        <v>3451</v>
      </c>
      <c r="G36" s="15" t="n">
        <v>45.76</v>
      </c>
    </row>
    <row r="37" customFormat="false" ht="15" hidden="false" customHeight="false" outlineLevel="0" collapsed="false">
      <c r="A37" s="13" t="s">
        <v>214</v>
      </c>
      <c r="B37" s="13" t="n">
        <v>8</v>
      </c>
      <c r="C37" s="13" t="s">
        <v>67</v>
      </c>
      <c r="D37" s="13" t="s">
        <v>15</v>
      </c>
      <c r="E37" s="13" t="s">
        <v>65</v>
      </c>
      <c r="F37" s="14" t="n">
        <v>2154</v>
      </c>
      <c r="G37" s="15" t="n">
        <v>28.56</v>
      </c>
    </row>
    <row r="38" customFormat="false" ht="15" hidden="false" customHeight="false" outlineLevel="0" collapsed="false">
      <c r="A38" s="13" t="s">
        <v>215</v>
      </c>
      <c r="B38" s="13" t="n">
        <v>9</v>
      </c>
      <c r="C38" s="13" t="s">
        <v>67</v>
      </c>
      <c r="D38" s="13" t="s">
        <v>15</v>
      </c>
      <c r="E38" s="13" t="s">
        <v>65</v>
      </c>
      <c r="F38" s="14" t="n">
        <v>2472</v>
      </c>
      <c r="G38" s="15" t="n">
        <v>32.78</v>
      </c>
    </row>
    <row r="39" customFormat="false" ht="15" hidden="false" customHeight="false" outlineLevel="0" collapsed="false">
      <c r="A39" s="13" t="s">
        <v>216</v>
      </c>
      <c r="B39" s="13" t="n">
        <v>10</v>
      </c>
      <c r="C39" s="13" t="s">
        <v>67</v>
      </c>
      <c r="D39" s="13" t="s">
        <v>15</v>
      </c>
      <c r="E39" s="13" t="s">
        <v>65</v>
      </c>
      <c r="F39" s="14" t="n">
        <v>2832</v>
      </c>
      <c r="G39" s="15" t="n">
        <v>37.55</v>
      </c>
    </row>
    <row r="40" customFormat="false" ht="15" hidden="false" customHeight="false" outlineLevel="0" collapsed="false">
      <c r="A40" s="13" t="s">
        <v>217</v>
      </c>
      <c r="B40" s="13" t="n">
        <v>11</v>
      </c>
      <c r="C40" s="13" t="s">
        <v>67</v>
      </c>
      <c r="D40" s="13" t="s">
        <v>15</v>
      </c>
      <c r="E40" s="13" t="s">
        <v>65</v>
      </c>
      <c r="F40" s="14" t="n">
        <v>2836</v>
      </c>
      <c r="G40" s="15" t="n">
        <v>37.61</v>
      </c>
    </row>
    <row r="41" customFormat="false" ht="15" hidden="false" customHeight="false" outlineLevel="0" collapsed="false">
      <c r="A41" s="13" t="s">
        <v>218</v>
      </c>
      <c r="B41" s="13" t="n">
        <v>12</v>
      </c>
      <c r="C41" s="13" t="s">
        <v>67</v>
      </c>
      <c r="D41" s="13" t="s">
        <v>15</v>
      </c>
      <c r="E41" s="13" t="s">
        <v>65</v>
      </c>
      <c r="F41" s="14" t="n">
        <v>2565</v>
      </c>
      <c r="G41" s="15" t="n">
        <v>34.01</v>
      </c>
    </row>
    <row r="42" customFormat="false" ht="15" hidden="false" customHeight="false" outlineLevel="0" collapsed="false">
      <c r="A42" s="13" t="s">
        <v>219</v>
      </c>
      <c r="B42" s="13" t="n">
        <v>13</v>
      </c>
      <c r="C42" s="13" t="s">
        <v>67</v>
      </c>
      <c r="D42" s="13" t="s">
        <v>15</v>
      </c>
      <c r="E42" s="13" t="s">
        <v>65</v>
      </c>
      <c r="F42" s="14" t="n">
        <v>3229</v>
      </c>
      <c r="G42" s="15" t="n">
        <v>42.82</v>
      </c>
    </row>
    <row r="43" customFormat="false" ht="15" hidden="false" customHeight="false" outlineLevel="0" collapsed="false">
      <c r="A43" s="13" t="s">
        <v>220</v>
      </c>
      <c r="B43" s="13" t="n">
        <v>14</v>
      </c>
      <c r="C43" s="13" t="s">
        <v>67</v>
      </c>
      <c r="D43" s="13" t="s">
        <v>15</v>
      </c>
      <c r="E43" s="13" t="s">
        <v>65</v>
      </c>
      <c r="F43" s="14" t="n">
        <v>3650</v>
      </c>
      <c r="G43" s="15" t="n">
        <v>48.4</v>
      </c>
    </row>
    <row r="44" customFormat="false" ht="15" hidden="false" customHeight="false" outlineLevel="0" collapsed="false">
      <c r="A44" s="13" t="s">
        <v>9</v>
      </c>
      <c r="B44" s="13" t="n">
        <v>1</v>
      </c>
      <c r="C44" s="13" t="s">
        <v>89</v>
      </c>
      <c r="D44" s="13" t="s">
        <v>15</v>
      </c>
      <c r="E44" s="13" t="s">
        <v>83</v>
      </c>
      <c r="F44" s="14" t="n">
        <v>4707</v>
      </c>
      <c r="G44" s="15" t="n">
        <v>41.66</v>
      </c>
    </row>
    <row r="45" customFormat="false" ht="15" hidden="false" customHeight="false" outlineLevel="0" collapsed="false">
      <c r="A45" s="13" t="s">
        <v>208</v>
      </c>
      <c r="B45" s="13" t="n">
        <v>2</v>
      </c>
      <c r="C45" s="13" t="s">
        <v>89</v>
      </c>
      <c r="D45" s="13" t="s">
        <v>15</v>
      </c>
      <c r="E45" s="13" t="s">
        <v>83</v>
      </c>
      <c r="F45" s="14" t="n">
        <v>5500</v>
      </c>
      <c r="G45" s="15" t="n">
        <v>48.67</v>
      </c>
    </row>
    <row r="46" customFormat="false" ht="15" hidden="false" customHeight="false" outlineLevel="0" collapsed="false">
      <c r="A46" s="13" t="s">
        <v>209</v>
      </c>
      <c r="B46" s="13" t="n">
        <v>3</v>
      </c>
      <c r="C46" s="13" t="s">
        <v>89</v>
      </c>
      <c r="D46" s="13" t="s">
        <v>15</v>
      </c>
      <c r="E46" s="13" t="s">
        <v>83</v>
      </c>
      <c r="F46" s="14" t="n">
        <v>4847</v>
      </c>
      <c r="G46" s="15" t="n">
        <v>42.9</v>
      </c>
    </row>
    <row r="47" customFormat="false" ht="15" hidden="false" customHeight="false" outlineLevel="0" collapsed="false">
      <c r="A47" s="13" t="s">
        <v>210</v>
      </c>
      <c r="B47" s="13" t="n">
        <v>4</v>
      </c>
      <c r="C47" s="13" t="s">
        <v>89</v>
      </c>
      <c r="D47" s="13" t="s">
        <v>15</v>
      </c>
      <c r="E47" s="13" t="s">
        <v>83</v>
      </c>
      <c r="F47" s="14" t="n">
        <v>4967</v>
      </c>
      <c r="G47" s="15" t="n">
        <v>43.96</v>
      </c>
    </row>
    <row r="48" customFormat="false" ht="15" hidden="false" customHeight="false" outlineLevel="0" collapsed="false">
      <c r="A48" s="13" t="s">
        <v>211</v>
      </c>
      <c r="B48" s="13" t="n">
        <v>5</v>
      </c>
      <c r="C48" s="13" t="s">
        <v>89</v>
      </c>
      <c r="D48" s="13" t="s">
        <v>15</v>
      </c>
      <c r="E48" s="13" t="s">
        <v>83</v>
      </c>
      <c r="F48" s="14" t="n">
        <v>5318</v>
      </c>
      <c r="G48" s="15" t="n">
        <v>47.06</v>
      </c>
    </row>
    <row r="49" customFormat="false" ht="15" hidden="false" customHeight="false" outlineLevel="0" collapsed="false">
      <c r="A49" s="13" t="s">
        <v>212</v>
      </c>
      <c r="B49" s="13" t="n">
        <v>6</v>
      </c>
      <c r="C49" s="13" t="s">
        <v>89</v>
      </c>
      <c r="D49" s="13" t="s">
        <v>15</v>
      </c>
      <c r="E49" s="13" t="s">
        <v>83</v>
      </c>
      <c r="F49" s="14" t="n">
        <v>5978</v>
      </c>
      <c r="G49" s="15" t="n">
        <v>52.91</v>
      </c>
    </row>
    <row r="50" customFormat="false" ht="15" hidden="false" customHeight="false" outlineLevel="0" collapsed="false">
      <c r="A50" s="13" t="s">
        <v>213</v>
      </c>
      <c r="B50" s="13" t="n">
        <v>7</v>
      </c>
      <c r="C50" s="13" t="s">
        <v>89</v>
      </c>
      <c r="D50" s="13" t="s">
        <v>15</v>
      </c>
      <c r="E50" s="13" t="s">
        <v>83</v>
      </c>
      <c r="F50" s="14" t="n">
        <v>5574</v>
      </c>
      <c r="G50" s="15" t="n">
        <v>49.33</v>
      </c>
    </row>
    <row r="51" customFormat="false" ht="15" hidden="false" customHeight="false" outlineLevel="0" collapsed="false">
      <c r="A51" s="13" t="s">
        <v>214</v>
      </c>
      <c r="B51" s="13" t="n">
        <v>8</v>
      </c>
      <c r="C51" s="13" t="s">
        <v>89</v>
      </c>
      <c r="D51" s="13" t="s">
        <v>15</v>
      </c>
      <c r="E51" s="13" t="s">
        <v>83</v>
      </c>
      <c r="F51" s="14" t="n">
        <v>4816</v>
      </c>
      <c r="G51" s="15" t="n">
        <v>42.62</v>
      </c>
    </row>
    <row r="52" customFormat="false" ht="15" hidden="false" customHeight="false" outlineLevel="0" collapsed="false">
      <c r="A52" s="13" t="s">
        <v>215</v>
      </c>
      <c r="B52" s="13" t="n">
        <v>9</v>
      </c>
      <c r="C52" s="13" t="s">
        <v>89</v>
      </c>
      <c r="D52" s="13" t="s">
        <v>15</v>
      </c>
      <c r="E52" s="13" t="s">
        <v>83</v>
      </c>
      <c r="F52" s="14" t="n">
        <v>4838</v>
      </c>
      <c r="G52" s="15" t="n">
        <v>42.82</v>
      </c>
    </row>
    <row r="53" customFormat="false" ht="15" hidden="false" customHeight="false" outlineLevel="0" collapsed="false">
      <c r="A53" s="13" t="s">
        <v>216</v>
      </c>
      <c r="B53" s="13" t="n">
        <v>10</v>
      </c>
      <c r="C53" s="13" t="s">
        <v>89</v>
      </c>
      <c r="D53" s="13" t="s">
        <v>15</v>
      </c>
      <c r="E53" s="13" t="s">
        <v>83</v>
      </c>
      <c r="F53" s="14" t="n">
        <v>4451</v>
      </c>
      <c r="G53" s="15" t="n">
        <v>39.39</v>
      </c>
    </row>
    <row r="54" customFormat="false" ht="15" hidden="false" customHeight="false" outlineLevel="0" collapsed="false">
      <c r="A54" s="13" t="s">
        <v>217</v>
      </c>
      <c r="B54" s="13" t="n">
        <v>11</v>
      </c>
      <c r="C54" s="13" t="s">
        <v>89</v>
      </c>
      <c r="D54" s="13" t="s">
        <v>15</v>
      </c>
      <c r="E54" s="13" t="s">
        <v>83</v>
      </c>
      <c r="F54" s="14" t="n">
        <v>4774</v>
      </c>
      <c r="G54" s="15" t="n">
        <v>42.25</v>
      </c>
    </row>
    <row r="55" customFormat="false" ht="15" hidden="false" customHeight="false" outlineLevel="0" collapsed="false">
      <c r="A55" s="13" t="s">
        <v>218</v>
      </c>
      <c r="B55" s="13" t="n">
        <v>12</v>
      </c>
      <c r="C55" s="13" t="s">
        <v>89</v>
      </c>
      <c r="D55" s="13" t="s">
        <v>15</v>
      </c>
      <c r="E55" s="13" t="s">
        <v>83</v>
      </c>
      <c r="F55" s="14" t="n">
        <v>4632</v>
      </c>
      <c r="G55" s="15" t="n">
        <v>40.99</v>
      </c>
    </row>
    <row r="56" customFormat="false" ht="15" hidden="false" customHeight="false" outlineLevel="0" collapsed="false">
      <c r="A56" s="13" t="s">
        <v>219</v>
      </c>
      <c r="B56" s="13" t="n">
        <v>13</v>
      </c>
      <c r="C56" s="13" t="s">
        <v>89</v>
      </c>
      <c r="D56" s="13" t="s">
        <v>15</v>
      </c>
      <c r="E56" s="13" t="s">
        <v>83</v>
      </c>
      <c r="F56" s="14" t="n">
        <v>6260</v>
      </c>
      <c r="G56" s="15" t="n">
        <v>55.4</v>
      </c>
    </row>
    <row r="57" customFormat="false" ht="15" hidden="false" customHeight="false" outlineLevel="0" collapsed="false">
      <c r="A57" s="13" t="s">
        <v>220</v>
      </c>
      <c r="B57" s="13" t="n">
        <v>14</v>
      </c>
      <c r="C57" s="13" t="s">
        <v>89</v>
      </c>
      <c r="D57" s="13" t="s">
        <v>15</v>
      </c>
      <c r="E57" s="13" t="s">
        <v>83</v>
      </c>
      <c r="F57" s="14" t="n">
        <v>5943</v>
      </c>
      <c r="G57" s="15" t="n">
        <v>52.6</v>
      </c>
    </row>
    <row r="58" customFormat="false" ht="15" hidden="false" customHeight="false" outlineLevel="0" collapsed="false">
      <c r="A58" s="13" t="s">
        <v>9</v>
      </c>
      <c r="B58" s="13" t="n">
        <v>1</v>
      </c>
      <c r="C58" s="13" t="s">
        <v>91</v>
      </c>
      <c r="D58" s="13" t="s">
        <v>15</v>
      </c>
      <c r="E58" s="13" t="s">
        <v>92</v>
      </c>
      <c r="F58" s="14" t="n">
        <v>8098</v>
      </c>
      <c r="G58" s="15" t="n">
        <v>89.24</v>
      </c>
    </row>
    <row r="59" customFormat="false" ht="15" hidden="false" customHeight="false" outlineLevel="0" collapsed="false">
      <c r="A59" s="13" t="s">
        <v>208</v>
      </c>
      <c r="B59" s="13" t="n">
        <v>2</v>
      </c>
      <c r="C59" s="13" t="s">
        <v>91</v>
      </c>
      <c r="D59" s="13" t="s">
        <v>15</v>
      </c>
      <c r="E59" s="13" t="s">
        <v>92</v>
      </c>
      <c r="F59" s="14" t="n">
        <v>8185</v>
      </c>
      <c r="G59" s="15" t="n">
        <v>90.2</v>
      </c>
    </row>
    <row r="60" customFormat="false" ht="15" hidden="false" customHeight="false" outlineLevel="0" collapsed="false">
      <c r="A60" s="13" t="s">
        <v>209</v>
      </c>
      <c r="B60" s="13" t="n">
        <v>3</v>
      </c>
      <c r="C60" s="13" t="s">
        <v>91</v>
      </c>
      <c r="D60" s="13" t="s">
        <v>15</v>
      </c>
      <c r="E60" s="13" t="s">
        <v>92</v>
      </c>
      <c r="F60" s="14" t="n">
        <v>8348</v>
      </c>
      <c r="G60" s="15" t="n">
        <v>91.99</v>
      </c>
    </row>
    <row r="61" customFormat="false" ht="15" hidden="false" customHeight="false" outlineLevel="0" collapsed="false">
      <c r="A61" s="13" t="s">
        <v>210</v>
      </c>
      <c r="B61" s="13" t="n">
        <v>4</v>
      </c>
      <c r="C61" s="13" t="s">
        <v>91</v>
      </c>
      <c r="D61" s="13" t="s">
        <v>15</v>
      </c>
      <c r="E61" s="13" t="s">
        <v>92</v>
      </c>
      <c r="F61" s="14" t="n">
        <v>8542</v>
      </c>
      <c r="G61" s="15" t="n">
        <v>94.13</v>
      </c>
    </row>
    <row r="62" customFormat="false" ht="15" hidden="false" customHeight="false" outlineLevel="0" collapsed="false">
      <c r="A62" s="13" t="s">
        <v>211</v>
      </c>
      <c r="B62" s="13" t="n">
        <v>5</v>
      </c>
      <c r="C62" s="13" t="s">
        <v>91</v>
      </c>
      <c r="D62" s="13" t="s">
        <v>15</v>
      </c>
      <c r="E62" s="13" t="s">
        <v>92</v>
      </c>
      <c r="F62" s="14" t="n">
        <v>7743</v>
      </c>
      <c r="G62" s="15" t="n">
        <v>85.33</v>
      </c>
    </row>
    <row r="63" customFormat="false" ht="15" hidden="false" customHeight="false" outlineLevel="0" collapsed="false">
      <c r="A63" s="13" t="s">
        <v>212</v>
      </c>
      <c r="B63" s="13" t="n">
        <v>6</v>
      </c>
      <c r="C63" s="13" t="s">
        <v>91</v>
      </c>
      <c r="D63" s="13" t="s">
        <v>15</v>
      </c>
      <c r="E63" s="13" t="s">
        <v>92</v>
      </c>
      <c r="F63" s="14" t="n">
        <v>9448</v>
      </c>
      <c r="G63" s="15" t="n">
        <v>104.12</v>
      </c>
    </row>
    <row r="64" customFormat="false" ht="15" hidden="false" customHeight="false" outlineLevel="0" collapsed="false">
      <c r="A64" s="13" t="s">
        <v>213</v>
      </c>
      <c r="B64" s="13" t="n">
        <v>7</v>
      </c>
      <c r="C64" s="13" t="s">
        <v>91</v>
      </c>
      <c r="D64" s="13" t="s">
        <v>15</v>
      </c>
      <c r="E64" s="13" t="s">
        <v>92</v>
      </c>
      <c r="F64" s="14" t="n">
        <v>10746</v>
      </c>
      <c r="G64" s="15" t="n">
        <v>118.42</v>
      </c>
    </row>
    <row r="65" customFormat="false" ht="15" hidden="false" customHeight="false" outlineLevel="0" collapsed="false">
      <c r="A65" s="13" t="s">
        <v>214</v>
      </c>
      <c r="B65" s="13" t="n">
        <v>8</v>
      </c>
      <c r="C65" s="13" t="s">
        <v>91</v>
      </c>
      <c r="D65" s="13" t="s">
        <v>15</v>
      </c>
      <c r="E65" s="13" t="s">
        <v>92</v>
      </c>
      <c r="F65" s="14" t="n">
        <v>8034</v>
      </c>
      <c r="G65" s="15" t="n">
        <v>88.53</v>
      </c>
    </row>
    <row r="66" customFormat="false" ht="15" hidden="false" customHeight="false" outlineLevel="0" collapsed="false">
      <c r="A66" s="13" t="s">
        <v>215</v>
      </c>
      <c r="B66" s="13" t="n">
        <v>9</v>
      </c>
      <c r="C66" s="13" t="s">
        <v>91</v>
      </c>
      <c r="D66" s="13" t="s">
        <v>15</v>
      </c>
      <c r="E66" s="13" t="s">
        <v>92</v>
      </c>
      <c r="F66" s="14" t="n">
        <v>7537</v>
      </c>
      <c r="G66" s="15" t="n">
        <v>83.06</v>
      </c>
    </row>
    <row r="67" customFormat="false" ht="15" hidden="false" customHeight="false" outlineLevel="0" collapsed="false">
      <c r="A67" s="13" t="s">
        <v>216</v>
      </c>
      <c r="B67" s="13" t="n">
        <v>10</v>
      </c>
      <c r="C67" s="13" t="s">
        <v>91</v>
      </c>
      <c r="D67" s="13" t="s">
        <v>15</v>
      </c>
      <c r="E67" s="13" t="s">
        <v>92</v>
      </c>
      <c r="F67" s="14" t="n">
        <v>8457</v>
      </c>
      <c r="G67" s="15" t="n">
        <v>93.2</v>
      </c>
    </row>
    <row r="68" customFormat="false" ht="15" hidden="false" customHeight="false" outlineLevel="0" collapsed="false">
      <c r="A68" s="13" t="s">
        <v>217</v>
      </c>
      <c r="B68" s="13" t="n">
        <v>11</v>
      </c>
      <c r="C68" s="13" t="s">
        <v>91</v>
      </c>
      <c r="D68" s="13" t="s">
        <v>15</v>
      </c>
      <c r="E68" s="13" t="s">
        <v>92</v>
      </c>
      <c r="F68" s="14" t="n">
        <v>8467</v>
      </c>
      <c r="G68" s="15" t="n">
        <v>93.31</v>
      </c>
    </row>
    <row r="69" customFormat="false" ht="15" hidden="false" customHeight="false" outlineLevel="0" collapsed="false">
      <c r="A69" s="13" t="s">
        <v>218</v>
      </c>
      <c r="B69" s="13" t="n">
        <v>12</v>
      </c>
      <c r="C69" s="13" t="s">
        <v>91</v>
      </c>
      <c r="D69" s="13" t="s">
        <v>15</v>
      </c>
      <c r="E69" s="13" t="s">
        <v>92</v>
      </c>
      <c r="F69" s="14" t="n">
        <v>7481</v>
      </c>
      <c r="G69" s="15" t="n">
        <v>82.44</v>
      </c>
    </row>
    <row r="70" customFormat="false" ht="15" hidden="false" customHeight="false" outlineLevel="0" collapsed="false">
      <c r="A70" s="13" t="s">
        <v>219</v>
      </c>
      <c r="B70" s="13" t="n">
        <v>13</v>
      </c>
      <c r="C70" s="13" t="s">
        <v>91</v>
      </c>
      <c r="D70" s="13" t="s">
        <v>15</v>
      </c>
      <c r="E70" s="13" t="s">
        <v>92</v>
      </c>
      <c r="F70" s="14" t="n">
        <v>10217</v>
      </c>
      <c r="G70" s="15" t="n">
        <v>112.59</v>
      </c>
    </row>
    <row r="71" customFormat="false" ht="15" hidden="false" customHeight="false" outlineLevel="0" collapsed="false">
      <c r="A71" s="13" t="s">
        <v>220</v>
      </c>
      <c r="B71" s="13" t="n">
        <v>14</v>
      </c>
      <c r="C71" s="13" t="s">
        <v>91</v>
      </c>
      <c r="D71" s="13" t="s">
        <v>15</v>
      </c>
      <c r="E71" s="13" t="s">
        <v>92</v>
      </c>
      <c r="F71" s="14" t="n">
        <v>10523</v>
      </c>
      <c r="G71" s="15" t="n">
        <v>115.96</v>
      </c>
    </row>
    <row r="72" customFormat="false" ht="15" hidden="false" customHeight="false" outlineLevel="0" collapsed="false">
      <c r="A72" s="13" t="s">
        <v>9</v>
      </c>
      <c r="B72" s="13" t="n">
        <v>1</v>
      </c>
      <c r="C72" s="13" t="s">
        <v>82</v>
      </c>
      <c r="D72" s="13" t="s">
        <v>15</v>
      </c>
      <c r="E72" s="13" t="s">
        <v>83</v>
      </c>
      <c r="F72" s="14" t="n">
        <v>1930</v>
      </c>
      <c r="G72" s="15" t="n">
        <v>17.06</v>
      </c>
    </row>
    <row r="73" customFormat="false" ht="15" hidden="false" customHeight="false" outlineLevel="0" collapsed="false">
      <c r="A73" s="13" t="s">
        <v>208</v>
      </c>
      <c r="B73" s="13" t="n">
        <v>2</v>
      </c>
      <c r="C73" s="13" t="s">
        <v>82</v>
      </c>
      <c r="D73" s="13" t="s">
        <v>15</v>
      </c>
      <c r="E73" s="13" t="s">
        <v>83</v>
      </c>
      <c r="F73" s="14" t="n">
        <v>1959</v>
      </c>
      <c r="G73" s="15" t="n">
        <v>17.32</v>
      </c>
    </row>
    <row r="74" customFormat="false" ht="15" hidden="false" customHeight="false" outlineLevel="0" collapsed="false">
      <c r="A74" s="13" t="s">
        <v>209</v>
      </c>
      <c r="B74" s="13" t="n">
        <v>3</v>
      </c>
      <c r="C74" s="13" t="s">
        <v>82</v>
      </c>
      <c r="D74" s="13" t="s">
        <v>15</v>
      </c>
      <c r="E74" s="13" t="s">
        <v>83</v>
      </c>
      <c r="F74" s="14" t="n">
        <v>1728</v>
      </c>
      <c r="G74" s="15" t="n">
        <v>15.28</v>
      </c>
    </row>
    <row r="75" customFormat="false" ht="15" hidden="false" customHeight="false" outlineLevel="0" collapsed="false">
      <c r="A75" s="13" t="s">
        <v>210</v>
      </c>
      <c r="B75" s="13" t="n">
        <v>4</v>
      </c>
      <c r="C75" s="13" t="s">
        <v>82</v>
      </c>
      <c r="D75" s="13" t="s">
        <v>15</v>
      </c>
      <c r="E75" s="13" t="s">
        <v>83</v>
      </c>
      <c r="F75" s="14" t="n">
        <v>1925</v>
      </c>
      <c r="G75" s="15" t="n">
        <v>17.02</v>
      </c>
    </row>
    <row r="76" customFormat="false" ht="15" hidden="false" customHeight="false" outlineLevel="0" collapsed="false">
      <c r="A76" s="13" t="s">
        <v>211</v>
      </c>
      <c r="B76" s="13" t="n">
        <v>5</v>
      </c>
      <c r="C76" s="13" t="s">
        <v>82</v>
      </c>
      <c r="D76" s="13" t="s">
        <v>15</v>
      </c>
      <c r="E76" s="13" t="s">
        <v>83</v>
      </c>
      <c r="F76" s="14" t="n">
        <v>1853</v>
      </c>
      <c r="G76" s="15" t="n">
        <v>16.38</v>
      </c>
    </row>
    <row r="77" customFormat="false" ht="15" hidden="false" customHeight="false" outlineLevel="0" collapsed="false">
      <c r="A77" s="13" t="s">
        <v>212</v>
      </c>
      <c r="B77" s="13" t="n">
        <v>6</v>
      </c>
      <c r="C77" s="13" t="s">
        <v>82</v>
      </c>
      <c r="D77" s="13" t="s">
        <v>15</v>
      </c>
      <c r="E77" s="13" t="s">
        <v>83</v>
      </c>
      <c r="F77" s="14" t="n">
        <v>2242</v>
      </c>
      <c r="G77" s="15" t="n">
        <v>19.82</v>
      </c>
    </row>
    <row r="78" customFormat="false" ht="15" hidden="false" customHeight="false" outlineLevel="0" collapsed="false">
      <c r="A78" s="13" t="s">
        <v>213</v>
      </c>
      <c r="B78" s="13" t="n">
        <v>7</v>
      </c>
      <c r="C78" s="13" t="s">
        <v>82</v>
      </c>
      <c r="D78" s="13" t="s">
        <v>15</v>
      </c>
      <c r="E78" s="13" t="s">
        <v>83</v>
      </c>
      <c r="F78" s="14" t="n">
        <v>2430</v>
      </c>
      <c r="G78" s="15" t="n">
        <v>21.48</v>
      </c>
    </row>
    <row r="79" customFormat="false" ht="15" hidden="false" customHeight="false" outlineLevel="0" collapsed="false">
      <c r="A79" s="13" t="s">
        <v>214</v>
      </c>
      <c r="B79" s="13" t="n">
        <v>8</v>
      </c>
      <c r="C79" s="13" t="s">
        <v>82</v>
      </c>
      <c r="D79" s="13" t="s">
        <v>15</v>
      </c>
      <c r="E79" s="13" t="s">
        <v>83</v>
      </c>
      <c r="F79" s="14" t="n">
        <v>2055</v>
      </c>
      <c r="G79" s="15" t="n">
        <v>18.17</v>
      </c>
    </row>
    <row r="80" customFormat="false" ht="15" hidden="false" customHeight="false" outlineLevel="0" collapsed="false">
      <c r="A80" s="13" t="s">
        <v>215</v>
      </c>
      <c r="B80" s="13" t="n">
        <v>9</v>
      </c>
      <c r="C80" s="13" t="s">
        <v>82</v>
      </c>
      <c r="D80" s="13" t="s">
        <v>15</v>
      </c>
      <c r="E80" s="13" t="s">
        <v>83</v>
      </c>
      <c r="F80" s="14" t="n">
        <v>2091</v>
      </c>
      <c r="G80" s="15" t="n">
        <v>18.48</v>
      </c>
    </row>
    <row r="81" customFormat="false" ht="15" hidden="false" customHeight="false" outlineLevel="0" collapsed="false">
      <c r="A81" s="13" t="s">
        <v>216</v>
      </c>
      <c r="B81" s="13" t="n">
        <v>10</v>
      </c>
      <c r="C81" s="13" t="s">
        <v>82</v>
      </c>
      <c r="D81" s="13" t="s">
        <v>15</v>
      </c>
      <c r="E81" s="13" t="s">
        <v>83</v>
      </c>
      <c r="F81" s="14" t="n">
        <v>2036</v>
      </c>
      <c r="G81" s="15" t="n">
        <v>18</v>
      </c>
    </row>
    <row r="82" customFormat="false" ht="15" hidden="false" customHeight="false" outlineLevel="0" collapsed="false">
      <c r="A82" s="13" t="s">
        <v>217</v>
      </c>
      <c r="B82" s="13" t="n">
        <v>11</v>
      </c>
      <c r="C82" s="13" t="s">
        <v>82</v>
      </c>
      <c r="D82" s="13" t="s">
        <v>15</v>
      </c>
      <c r="E82" s="13" t="s">
        <v>83</v>
      </c>
      <c r="F82" s="14" t="n">
        <v>1875</v>
      </c>
      <c r="G82" s="15" t="n">
        <v>16.57</v>
      </c>
    </row>
    <row r="83" customFormat="false" ht="15" hidden="false" customHeight="false" outlineLevel="0" collapsed="false">
      <c r="A83" s="13" t="s">
        <v>218</v>
      </c>
      <c r="B83" s="13" t="n">
        <v>12</v>
      </c>
      <c r="C83" s="13" t="s">
        <v>82</v>
      </c>
      <c r="D83" s="13" t="s">
        <v>15</v>
      </c>
      <c r="E83" s="13" t="s">
        <v>83</v>
      </c>
      <c r="F83" s="14" t="n">
        <v>1927</v>
      </c>
      <c r="G83" s="15" t="n">
        <v>17.03</v>
      </c>
    </row>
    <row r="84" customFormat="false" ht="15" hidden="false" customHeight="false" outlineLevel="0" collapsed="false">
      <c r="A84" s="13" t="s">
        <v>219</v>
      </c>
      <c r="B84" s="13" t="n">
        <v>13</v>
      </c>
      <c r="C84" s="13" t="s">
        <v>82</v>
      </c>
      <c r="D84" s="13" t="s">
        <v>15</v>
      </c>
      <c r="E84" s="13" t="s">
        <v>83</v>
      </c>
      <c r="F84" s="14" t="n">
        <v>2415</v>
      </c>
      <c r="G84" s="15" t="n">
        <v>21.35</v>
      </c>
    </row>
    <row r="85" customFormat="false" ht="15" hidden="false" customHeight="false" outlineLevel="0" collapsed="false">
      <c r="A85" s="13" t="s">
        <v>220</v>
      </c>
      <c r="B85" s="13" t="n">
        <v>14</v>
      </c>
      <c r="C85" s="13" t="s">
        <v>82</v>
      </c>
      <c r="D85" s="13" t="s">
        <v>15</v>
      </c>
      <c r="E85" s="13" t="s">
        <v>83</v>
      </c>
      <c r="F85" s="14" t="n">
        <v>2326</v>
      </c>
      <c r="G85" s="15" t="n">
        <v>20.56</v>
      </c>
    </row>
    <row r="86" customFormat="false" ht="15" hidden="false" customHeight="false" outlineLevel="0" collapsed="false">
      <c r="A86" s="13" t="s">
        <v>9</v>
      </c>
      <c r="B86" s="13" t="n">
        <v>1</v>
      </c>
      <c r="C86" s="13" t="s">
        <v>69</v>
      </c>
      <c r="D86" s="13" t="s">
        <v>15</v>
      </c>
      <c r="E86" s="13" t="s">
        <v>65</v>
      </c>
      <c r="F86" s="14" t="n">
        <v>4250</v>
      </c>
      <c r="G86" s="15" t="n">
        <v>56.95</v>
      </c>
    </row>
    <row r="87" customFormat="false" ht="15" hidden="false" customHeight="false" outlineLevel="0" collapsed="false">
      <c r="A87" s="13" t="s">
        <v>208</v>
      </c>
      <c r="B87" s="13" t="n">
        <v>2</v>
      </c>
      <c r="C87" s="13" t="s">
        <v>69</v>
      </c>
      <c r="D87" s="13" t="s">
        <v>15</v>
      </c>
      <c r="E87" s="13" t="s">
        <v>65</v>
      </c>
      <c r="F87" s="14" t="n">
        <v>4425</v>
      </c>
      <c r="G87" s="15" t="n">
        <v>59.3</v>
      </c>
    </row>
    <row r="88" customFormat="false" ht="15" hidden="false" customHeight="false" outlineLevel="0" collapsed="false">
      <c r="A88" s="13" t="s">
        <v>209</v>
      </c>
      <c r="B88" s="13" t="n">
        <v>3</v>
      </c>
      <c r="C88" s="13" t="s">
        <v>69</v>
      </c>
      <c r="D88" s="13" t="s">
        <v>15</v>
      </c>
      <c r="E88" s="13" t="s">
        <v>65</v>
      </c>
      <c r="F88" s="14" t="n">
        <v>4201</v>
      </c>
      <c r="G88" s="15" t="n">
        <v>56.29</v>
      </c>
    </row>
    <row r="89" customFormat="false" ht="15" hidden="false" customHeight="false" outlineLevel="0" collapsed="false">
      <c r="A89" s="13" t="s">
        <v>210</v>
      </c>
      <c r="B89" s="13" t="n">
        <v>4</v>
      </c>
      <c r="C89" s="13" t="s">
        <v>69</v>
      </c>
      <c r="D89" s="13" t="s">
        <v>15</v>
      </c>
      <c r="E89" s="13" t="s">
        <v>65</v>
      </c>
      <c r="F89" s="14" t="n">
        <v>4032</v>
      </c>
      <c r="G89" s="15" t="n">
        <v>54.03</v>
      </c>
    </row>
    <row r="90" customFormat="false" ht="15" hidden="false" customHeight="false" outlineLevel="0" collapsed="false">
      <c r="A90" s="13" t="s">
        <v>211</v>
      </c>
      <c r="B90" s="13" t="n">
        <v>5</v>
      </c>
      <c r="C90" s="13" t="s">
        <v>69</v>
      </c>
      <c r="D90" s="13" t="s">
        <v>15</v>
      </c>
      <c r="E90" s="13" t="s">
        <v>65</v>
      </c>
      <c r="F90" s="14" t="n">
        <v>4112</v>
      </c>
      <c r="G90" s="15" t="n">
        <v>55.1</v>
      </c>
    </row>
    <row r="91" customFormat="false" ht="15" hidden="false" customHeight="false" outlineLevel="0" collapsed="false">
      <c r="A91" s="13" t="s">
        <v>212</v>
      </c>
      <c r="B91" s="13" t="n">
        <v>6</v>
      </c>
      <c r="C91" s="13" t="s">
        <v>69</v>
      </c>
      <c r="D91" s="13" t="s">
        <v>15</v>
      </c>
      <c r="E91" s="13" t="s">
        <v>65</v>
      </c>
      <c r="F91" s="14" t="n">
        <v>5355</v>
      </c>
      <c r="G91" s="15" t="n">
        <v>71.76</v>
      </c>
    </row>
    <row r="92" customFormat="false" ht="15" hidden="false" customHeight="false" outlineLevel="0" collapsed="false">
      <c r="A92" s="13" t="s">
        <v>213</v>
      </c>
      <c r="B92" s="13" t="n">
        <v>7</v>
      </c>
      <c r="C92" s="13" t="s">
        <v>69</v>
      </c>
      <c r="D92" s="13" t="s">
        <v>15</v>
      </c>
      <c r="E92" s="13" t="s">
        <v>65</v>
      </c>
      <c r="F92" s="14" t="n">
        <v>5159</v>
      </c>
      <c r="G92" s="15" t="n">
        <v>69.13</v>
      </c>
    </row>
    <row r="93" customFormat="false" ht="15" hidden="false" customHeight="false" outlineLevel="0" collapsed="false">
      <c r="A93" s="13" t="s">
        <v>214</v>
      </c>
      <c r="B93" s="13" t="n">
        <v>8</v>
      </c>
      <c r="C93" s="13" t="s">
        <v>69</v>
      </c>
      <c r="D93" s="13" t="s">
        <v>15</v>
      </c>
      <c r="E93" s="13" t="s">
        <v>65</v>
      </c>
      <c r="F93" s="14" t="n">
        <v>4303</v>
      </c>
      <c r="G93" s="15" t="n">
        <v>57.66</v>
      </c>
    </row>
    <row r="94" customFormat="false" ht="15" hidden="false" customHeight="false" outlineLevel="0" collapsed="false">
      <c r="A94" s="13" t="s">
        <v>215</v>
      </c>
      <c r="B94" s="13" t="n">
        <v>9</v>
      </c>
      <c r="C94" s="13" t="s">
        <v>69</v>
      </c>
      <c r="D94" s="13" t="s">
        <v>15</v>
      </c>
      <c r="E94" s="13" t="s">
        <v>65</v>
      </c>
      <c r="F94" s="14" t="n">
        <v>4386</v>
      </c>
      <c r="G94" s="15" t="n">
        <v>58.77</v>
      </c>
    </row>
    <row r="95" customFormat="false" ht="15" hidden="false" customHeight="false" outlineLevel="0" collapsed="false">
      <c r="A95" s="13" t="s">
        <v>216</v>
      </c>
      <c r="B95" s="13" t="n">
        <v>10</v>
      </c>
      <c r="C95" s="13" t="s">
        <v>69</v>
      </c>
      <c r="D95" s="13" t="s">
        <v>15</v>
      </c>
      <c r="E95" s="13" t="s">
        <v>65</v>
      </c>
      <c r="F95" s="14" t="n">
        <v>4122</v>
      </c>
      <c r="G95" s="15" t="n">
        <v>55.23</v>
      </c>
    </row>
    <row r="96" customFormat="false" ht="15" hidden="false" customHeight="false" outlineLevel="0" collapsed="false">
      <c r="A96" s="13" t="s">
        <v>217</v>
      </c>
      <c r="B96" s="13" t="n">
        <v>11</v>
      </c>
      <c r="C96" s="13" t="s">
        <v>69</v>
      </c>
      <c r="D96" s="13" t="s">
        <v>15</v>
      </c>
      <c r="E96" s="13" t="s">
        <v>65</v>
      </c>
      <c r="F96" s="14" t="n">
        <v>4408</v>
      </c>
      <c r="G96" s="15" t="n">
        <v>59.07</v>
      </c>
    </row>
    <row r="97" customFormat="false" ht="15" hidden="false" customHeight="false" outlineLevel="0" collapsed="false">
      <c r="A97" s="13" t="s">
        <v>218</v>
      </c>
      <c r="B97" s="13" t="n">
        <v>12</v>
      </c>
      <c r="C97" s="13" t="s">
        <v>69</v>
      </c>
      <c r="D97" s="13" t="s">
        <v>15</v>
      </c>
      <c r="E97" s="13" t="s">
        <v>65</v>
      </c>
      <c r="F97" s="14" t="n">
        <v>4312</v>
      </c>
      <c r="G97" s="15" t="n">
        <v>57.78</v>
      </c>
    </row>
    <row r="98" customFormat="false" ht="15" hidden="false" customHeight="false" outlineLevel="0" collapsed="false">
      <c r="A98" s="13" t="s">
        <v>219</v>
      </c>
      <c r="B98" s="13" t="n">
        <v>13</v>
      </c>
      <c r="C98" s="13" t="s">
        <v>69</v>
      </c>
      <c r="D98" s="13" t="s">
        <v>15</v>
      </c>
      <c r="E98" s="13" t="s">
        <v>65</v>
      </c>
      <c r="F98" s="14" t="n">
        <v>4776</v>
      </c>
      <c r="G98" s="15" t="n">
        <v>64</v>
      </c>
    </row>
    <row r="99" customFormat="false" ht="15" hidden="false" customHeight="false" outlineLevel="0" collapsed="false">
      <c r="A99" s="13" t="s">
        <v>220</v>
      </c>
      <c r="B99" s="13" t="n">
        <v>14</v>
      </c>
      <c r="C99" s="13" t="s">
        <v>69</v>
      </c>
      <c r="D99" s="13" t="s">
        <v>15</v>
      </c>
      <c r="E99" s="13" t="s">
        <v>65</v>
      </c>
      <c r="F99" s="14" t="n">
        <v>5605</v>
      </c>
      <c r="G99" s="15" t="n">
        <v>75.11</v>
      </c>
    </row>
    <row r="100" customFormat="false" ht="15" hidden="false" customHeight="false" outlineLevel="0" collapsed="false">
      <c r="A100" s="13" t="s">
        <v>9</v>
      </c>
      <c r="B100" s="13" t="n">
        <v>1</v>
      </c>
      <c r="C100" s="13" t="s">
        <v>90</v>
      </c>
      <c r="D100" s="13" t="s">
        <v>15</v>
      </c>
      <c r="E100" s="13" t="s">
        <v>83</v>
      </c>
      <c r="F100" s="14" t="n">
        <v>5047</v>
      </c>
      <c r="G100" s="15" t="n">
        <v>48.55</v>
      </c>
    </row>
    <row r="101" customFormat="false" ht="15" hidden="false" customHeight="false" outlineLevel="0" collapsed="false">
      <c r="A101" s="13" t="s">
        <v>208</v>
      </c>
      <c r="B101" s="13" t="n">
        <v>2</v>
      </c>
      <c r="C101" s="13" t="s">
        <v>90</v>
      </c>
      <c r="D101" s="13" t="s">
        <v>15</v>
      </c>
      <c r="E101" s="13" t="s">
        <v>83</v>
      </c>
      <c r="F101" s="14" t="n">
        <v>4687</v>
      </c>
      <c r="G101" s="15" t="n">
        <v>45.09</v>
      </c>
    </row>
    <row r="102" customFormat="false" ht="15" hidden="false" customHeight="false" outlineLevel="0" collapsed="false">
      <c r="A102" s="13" t="s">
        <v>209</v>
      </c>
      <c r="B102" s="13" t="n">
        <v>3</v>
      </c>
      <c r="C102" s="13" t="s">
        <v>90</v>
      </c>
      <c r="D102" s="13" t="s">
        <v>15</v>
      </c>
      <c r="E102" s="13" t="s">
        <v>83</v>
      </c>
      <c r="F102" s="14" t="n">
        <v>4877</v>
      </c>
      <c r="G102" s="15" t="n">
        <v>46.92</v>
      </c>
    </row>
    <row r="103" customFormat="false" ht="15" hidden="false" customHeight="false" outlineLevel="0" collapsed="false">
      <c r="A103" s="13" t="s">
        <v>210</v>
      </c>
      <c r="B103" s="13" t="n">
        <v>4</v>
      </c>
      <c r="C103" s="13" t="s">
        <v>90</v>
      </c>
      <c r="D103" s="13" t="s">
        <v>15</v>
      </c>
      <c r="E103" s="13" t="s">
        <v>83</v>
      </c>
      <c r="F103" s="14" t="n">
        <v>4884</v>
      </c>
      <c r="G103" s="15" t="n">
        <v>46.98</v>
      </c>
    </row>
    <row r="104" customFormat="false" ht="15" hidden="false" customHeight="false" outlineLevel="0" collapsed="false">
      <c r="A104" s="13" t="s">
        <v>211</v>
      </c>
      <c r="B104" s="13" t="n">
        <v>5</v>
      </c>
      <c r="C104" s="13" t="s">
        <v>90</v>
      </c>
      <c r="D104" s="13" t="s">
        <v>15</v>
      </c>
      <c r="E104" s="13" t="s">
        <v>83</v>
      </c>
      <c r="F104" s="14" t="n">
        <v>5220</v>
      </c>
      <c r="G104" s="15" t="n">
        <v>50.22</v>
      </c>
    </row>
    <row r="105" customFormat="false" ht="15" hidden="false" customHeight="false" outlineLevel="0" collapsed="false">
      <c r="A105" s="13" t="s">
        <v>212</v>
      </c>
      <c r="B105" s="13" t="n">
        <v>6</v>
      </c>
      <c r="C105" s="13" t="s">
        <v>90</v>
      </c>
      <c r="D105" s="13" t="s">
        <v>15</v>
      </c>
      <c r="E105" s="13" t="s">
        <v>83</v>
      </c>
      <c r="F105" s="14" t="n">
        <v>6261</v>
      </c>
      <c r="G105" s="15" t="n">
        <v>60.23</v>
      </c>
    </row>
    <row r="106" customFormat="false" ht="15" hidden="false" customHeight="false" outlineLevel="0" collapsed="false">
      <c r="A106" s="13" t="s">
        <v>213</v>
      </c>
      <c r="B106" s="13" t="n">
        <v>7</v>
      </c>
      <c r="C106" s="13" t="s">
        <v>90</v>
      </c>
      <c r="D106" s="13" t="s">
        <v>15</v>
      </c>
      <c r="E106" s="13" t="s">
        <v>83</v>
      </c>
      <c r="F106" s="14" t="n">
        <v>6237</v>
      </c>
      <c r="G106" s="15" t="n">
        <v>60</v>
      </c>
    </row>
    <row r="107" customFormat="false" ht="15" hidden="false" customHeight="false" outlineLevel="0" collapsed="false">
      <c r="A107" s="13" t="s">
        <v>214</v>
      </c>
      <c r="B107" s="13" t="n">
        <v>8</v>
      </c>
      <c r="C107" s="13" t="s">
        <v>90</v>
      </c>
      <c r="D107" s="13" t="s">
        <v>15</v>
      </c>
      <c r="E107" s="13" t="s">
        <v>83</v>
      </c>
      <c r="F107" s="14" t="n">
        <v>5397</v>
      </c>
      <c r="G107" s="15" t="n">
        <v>51.92</v>
      </c>
    </row>
    <row r="108" customFormat="false" ht="15" hidden="false" customHeight="false" outlineLevel="0" collapsed="false">
      <c r="A108" s="13" t="s">
        <v>215</v>
      </c>
      <c r="B108" s="13" t="n">
        <v>9</v>
      </c>
      <c r="C108" s="13" t="s">
        <v>90</v>
      </c>
      <c r="D108" s="13" t="s">
        <v>15</v>
      </c>
      <c r="E108" s="13" t="s">
        <v>83</v>
      </c>
      <c r="F108" s="14" t="n">
        <v>5309</v>
      </c>
      <c r="G108" s="15" t="n">
        <v>51.07</v>
      </c>
    </row>
    <row r="109" customFormat="false" ht="15" hidden="false" customHeight="false" outlineLevel="0" collapsed="false">
      <c r="A109" s="13" t="s">
        <v>216</v>
      </c>
      <c r="B109" s="13" t="n">
        <v>10</v>
      </c>
      <c r="C109" s="13" t="s">
        <v>90</v>
      </c>
      <c r="D109" s="13" t="s">
        <v>15</v>
      </c>
      <c r="E109" s="13" t="s">
        <v>83</v>
      </c>
      <c r="F109" s="14" t="n">
        <v>5302</v>
      </c>
      <c r="G109" s="15" t="n">
        <v>51.01</v>
      </c>
    </row>
    <row r="110" customFormat="false" ht="15" hidden="false" customHeight="false" outlineLevel="0" collapsed="false">
      <c r="A110" s="13" t="s">
        <v>217</v>
      </c>
      <c r="B110" s="13" t="n">
        <v>11</v>
      </c>
      <c r="C110" s="13" t="s">
        <v>90</v>
      </c>
      <c r="D110" s="13" t="s">
        <v>15</v>
      </c>
      <c r="E110" s="13" t="s">
        <v>83</v>
      </c>
      <c r="F110" s="14" t="n">
        <v>5331</v>
      </c>
      <c r="G110" s="15" t="n">
        <v>51.28</v>
      </c>
    </row>
    <row r="111" customFormat="false" ht="15" hidden="false" customHeight="false" outlineLevel="0" collapsed="false">
      <c r="A111" s="13" t="s">
        <v>218</v>
      </c>
      <c r="B111" s="13" t="n">
        <v>12</v>
      </c>
      <c r="C111" s="13" t="s">
        <v>90</v>
      </c>
      <c r="D111" s="13" t="s">
        <v>15</v>
      </c>
      <c r="E111" s="13" t="s">
        <v>83</v>
      </c>
      <c r="F111" s="14" t="n">
        <v>5396</v>
      </c>
      <c r="G111" s="15" t="n">
        <v>51.91</v>
      </c>
    </row>
    <row r="112" customFormat="false" ht="15" hidden="false" customHeight="false" outlineLevel="0" collapsed="false">
      <c r="A112" s="13" t="s">
        <v>219</v>
      </c>
      <c r="B112" s="13" t="n">
        <v>13</v>
      </c>
      <c r="C112" s="13" t="s">
        <v>90</v>
      </c>
      <c r="D112" s="13" t="s">
        <v>15</v>
      </c>
      <c r="E112" s="13" t="s">
        <v>83</v>
      </c>
      <c r="F112" s="14" t="n">
        <v>5561</v>
      </c>
      <c r="G112" s="15" t="n">
        <v>53.5</v>
      </c>
    </row>
    <row r="113" customFormat="false" ht="15" hidden="false" customHeight="false" outlineLevel="0" collapsed="false">
      <c r="A113" s="13" t="s">
        <v>220</v>
      </c>
      <c r="B113" s="13" t="n">
        <v>14</v>
      </c>
      <c r="C113" s="13" t="s">
        <v>90</v>
      </c>
      <c r="D113" s="13" t="s">
        <v>15</v>
      </c>
      <c r="E113" s="13" t="s">
        <v>83</v>
      </c>
      <c r="F113" s="14" t="n">
        <v>6226</v>
      </c>
      <c r="G113" s="15" t="n">
        <v>59.89</v>
      </c>
    </row>
    <row r="114" customFormat="false" ht="15" hidden="false" customHeight="false" outlineLevel="0" collapsed="false">
      <c r="A114" s="13" t="s">
        <v>9</v>
      </c>
      <c r="B114" s="13" t="n">
        <v>1</v>
      </c>
      <c r="C114" s="13" t="s">
        <v>94</v>
      </c>
      <c r="D114" s="13" t="s">
        <v>15</v>
      </c>
      <c r="E114" s="13" t="s">
        <v>92</v>
      </c>
      <c r="F114" s="14" t="n">
        <v>5488</v>
      </c>
      <c r="G114" s="15" t="n">
        <v>60.7</v>
      </c>
    </row>
    <row r="115" customFormat="false" ht="15" hidden="false" customHeight="false" outlineLevel="0" collapsed="false">
      <c r="A115" s="13" t="s">
        <v>208</v>
      </c>
      <c r="B115" s="13" t="n">
        <v>2</v>
      </c>
      <c r="C115" s="13" t="s">
        <v>94</v>
      </c>
      <c r="D115" s="13" t="s">
        <v>15</v>
      </c>
      <c r="E115" s="13" t="s">
        <v>92</v>
      </c>
      <c r="F115" s="14" t="n">
        <v>6327</v>
      </c>
      <c r="G115" s="15" t="n">
        <v>69.98</v>
      </c>
    </row>
    <row r="116" customFormat="false" ht="15" hidden="false" customHeight="false" outlineLevel="0" collapsed="false">
      <c r="A116" s="13" t="s">
        <v>209</v>
      </c>
      <c r="B116" s="13" t="n">
        <v>3</v>
      </c>
      <c r="C116" s="13" t="s">
        <v>94</v>
      </c>
      <c r="D116" s="13" t="s">
        <v>15</v>
      </c>
      <c r="E116" s="13" t="s">
        <v>92</v>
      </c>
      <c r="F116" s="14" t="n">
        <v>6312</v>
      </c>
      <c r="G116" s="15" t="n">
        <v>69.81</v>
      </c>
    </row>
    <row r="117" customFormat="false" ht="15" hidden="false" customHeight="false" outlineLevel="0" collapsed="false">
      <c r="A117" s="13" t="s">
        <v>210</v>
      </c>
      <c r="B117" s="13" t="n">
        <v>4</v>
      </c>
      <c r="C117" s="13" t="s">
        <v>94</v>
      </c>
      <c r="D117" s="13" t="s">
        <v>15</v>
      </c>
      <c r="E117" s="13" t="s">
        <v>92</v>
      </c>
      <c r="F117" s="14" t="n">
        <v>6710</v>
      </c>
      <c r="G117" s="15" t="n">
        <v>74.21</v>
      </c>
    </row>
    <row r="118" customFormat="false" ht="15" hidden="false" customHeight="false" outlineLevel="0" collapsed="false">
      <c r="A118" s="13" t="s">
        <v>211</v>
      </c>
      <c r="B118" s="13" t="n">
        <v>5</v>
      </c>
      <c r="C118" s="13" t="s">
        <v>94</v>
      </c>
      <c r="D118" s="13" t="s">
        <v>15</v>
      </c>
      <c r="E118" s="13" t="s">
        <v>92</v>
      </c>
      <c r="F118" s="14" t="n">
        <v>6764</v>
      </c>
      <c r="G118" s="15" t="n">
        <v>74.81</v>
      </c>
    </row>
    <row r="119" customFormat="false" ht="15" hidden="false" customHeight="false" outlineLevel="0" collapsed="false">
      <c r="A119" s="13" t="s">
        <v>212</v>
      </c>
      <c r="B119" s="13" t="n">
        <v>6</v>
      </c>
      <c r="C119" s="13" t="s">
        <v>94</v>
      </c>
      <c r="D119" s="13" t="s">
        <v>15</v>
      </c>
      <c r="E119" s="13" t="s">
        <v>92</v>
      </c>
      <c r="F119" s="14" t="n">
        <v>7818</v>
      </c>
      <c r="G119" s="15" t="n">
        <v>86.47</v>
      </c>
    </row>
    <row r="120" customFormat="false" ht="15" hidden="false" customHeight="false" outlineLevel="0" collapsed="false">
      <c r="A120" s="13" t="s">
        <v>213</v>
      </c>
      <c r="B120" s="13" t="n">
        <v>7</v>
      </c>
      <c r="C120" s="13" t="s">
        <v>94</v>
      </c>
      <c r="D120" s="13" t="s">
        <v>15</v>
      </c>
      <c r="E120" s="13" t="s">
        <v>92</v>
      </c>
      <c r="F120" s="14" t="n">
        <v>7492</v>
      </c>
      <c r="G120" s="15" t="n">
        <v>82.86</v>
      </c>
    </row>
    <row r="121" customFormat="false" ht="15" hidden="false" customHeight="false" outlineLevel="0" collapsed="false">
      <c r="A121" s="13" t="s">
        <v>214</v>
      </c>
      <c r="B121" s="13" t="n">
        <v>8</v>
      </c>
      <c r="C121" s="13" t="s">
        <v>94</v>
      </c>
      <c r="D121" s="13" t="s">
        <v>15</v>
      </c>
      <c r="E121" s="13" t="s">
        <v>92</v>
      </c>
      <c r="F121" s="14" t="n">
        <v>6497</v>
      </c>
      <c r="G121" s="15" t="n">
        <v>71.86</v>
      </c>
    </row>
    <row r="122" customFormat="false" ht="15" hidden="false" customHeight="false" outlineLevel="0" collapsed="false">
      <c r="A122" s="13" t="s">
        <v>215</v>
      </c>
      <c r="B122" s="13" t="n">
        <v>9</v>
      </c>
      <c r="C122" s="13" t="s">
        <v>94</v>
      </c>
      <c r="D122" s="13" t="s">
        <v>15</v>
      </c>
      <c r="E122" s="13" t="s">
        <v>92</v>
      </c>
      <c r="F122" s="14" t="n">
        <v>6114</v>
      </c>
      <c r="G122" s="15" t="n">
        <v>67.62</v>
      </c>
    </row>
    <row r="123" customFormat="false" ht="15" hidden="false" customHeight="false" outlineLevel="0" collapsed="false">
      <c r="A123" s="13" t="s">
        <v>216</v>
      </c>
      <c r="B123" s="13" t="n">
        <v>10</v>
      </c>
      <c r="C123" s="13" t="s">
        <v>94</v>
      </c>
      <c r="D123" s="13" t="s">
        <v>15</v>
      </c>
      <c r="E123" s="13" t="s">
        <v>92</v>
      </c>
      <c r="F123" s="14" t="n">
        <v>6313</v>
      </c>
      <c r="G123" s="15" t="n">
        <v>69.82</v>
      </c>
    </row>
    <row r="124" customFormat="false" ht="15" hidden="false" customHeight="false" outlineLevel="0" collapsed="false">
      <c r="A124" s="13" t="s">
        <v>217</v>
      </c>
      <c r="B124" s="13" t="n">
        <v>11</v>
      </c>
      <c r="C124" s="13" t="s">
        <v>94</v>
      </c>
      <c r="D124" s="13" t="s">
        <v>15</v>
      </c>
      <c r="E124" s="13" t="s">
        <v>92</v>
      </c>
      <c r="F124" s="14" t="n">
        <v>6687</v>
      </c>
      <c r="G124" s="15" t="n">
        <v>73.96</v>
      </c>
    </row>
    <row r="125" customFormat="false" ht="15" hidden="false" customHeight="false" outlineLevel="0" collapsed="false">
      <c r="A125" s="13" t="s">
        <v>218</v>
      </c>
      <c r="B125" s="13" t="n">
        <v>12</v>
      </c>
      <c r="C125" s="13" t="s">
        <v>94</v>
      </c>
      <c r="D125" s="13" t="s">
        <v>15</v>
      </c>
      <c r="E125" s="13" t="s">
        <v>92</v>
      </c>
      <c r="F125" s="14" t="n">
        <v>6102</v>
      </c>
      <c r="G125" s="15" t="n">
        <v>67.49</v>
      </c>
    </row>
    <row r="126" customFormat="false" ht="15" hidden="false" customHeight="false" outlineLevel="0" collapsed="false">
      <c r="A126" s="13" t="s">
        <v>219</v>
      </c>
      <c r="B126" s="13" t="n">
        <v>13</v>
      </c>
      <c r="C126" s="13" t="s">
        <v>94</v>
      </c>
      <c r="D126" s="13" t="s">
        <v>15</v>
      </c>
      <c r="E126" s="13" t="s">
        <v>92</v>
      </c>
      <c r="F126" s="14" t="n">
        <v>8097</v>
      </c>
      <c r="G126" s="15" t="n">
        <v>89.55</v>
      </c>
    </row>
    <row r="127" customFormat="false" ht="15" hidden="false" customHeight="false" outlineLevel="0" collapsed="false">
      <c r="A127" s="13" t="s">
        <v>220</v>
      </c>
      <c r="B127" s="13" t="n">
        <v>14</v>
      </c>
      <c r="C127" s="13" t="s">
        <v>94</v>
      </c>
      <c r="D127" s="13" t="s">
        <v>15</v>
      </c>
      <c r="E127" s="13" t="s">
        <v>92</v>
      </c>
      <c r="F127" s="14" t="n">
        <v>8038</v>
      </c>
      <c r="G127" s="15" t="n">
        <v>88.9</v>
      </c>
    </row>
    <row r="128" customFormat="false" ht="15" hidden="false" customHeight="false" outlineLevel="0" collapsed="false">
      <c r="A128" s="13" t="s">
        <v>9</v>
      </c>
      <c r="B128" s="13" t="n">
        <v>1</v>
      </c>
      <c r="C128" s="13" t="s">
        <v>61</v>
      </c>
      <c r="D128" s="13" t="s">
        <v>15</v>
      </c>
      <c r="E128" s="13" t="s">
        <v>55</v>
      </c>
      <c r="F128" s="14" t="n">
        <v>1175</v>
      </c>
      <c r="G128" s="15" t="n">
        <v>12.28</v>
      </c>
    </row>
    <row r="129" customFormat="false" ht="15" hidden="false" customHeight="false" outlineLevel="0" collapsed="false">
      <c r="A129" s="13" t="s">
        <v>208</v>
      </c>
      <c r="B129" s="13" t="n">
        <v>2</v>
      </c>
      <c r="C129" s="13" t="s">
        <v>61</v>
      </c>
      <c r="D129" s="13" t="s">
        <v>15</v>
      </c>
      <c r="E129" s="13" t="s">
        <v>55</v>
      </c>
      <c r="F129" s="14" t="n">
        <v>1319</v>
      </c>
      <c r="G129" s="15" t="n">
        <v>13.78</v>
      </c>
    </row>
    <row r="130" customFormat="false" ht="15" hidden="false" customHeight="false" outlineLevel="0" collapsed="false">
      <c r="A130" s="13" t="s">
        <v>209</v>
      </c>
      <c r="B130" s="13" t="n">
        <v>3</v>
      </c>
      <c r="C130" s="13" t="s">
        <v>61</v>
      </c>
      <c r="D130" s="13" t="s">
        <v>15</v>
      </c>
      <c r="E130" s="13" t="s">
        <v>55</v>
      </c>
      <c r="F130" s="14" t="n">
        <v>1299</v>
      </c>
      <c r="G130" s="15" t="n">
        <v>13.57</v>
      </c>
    </row>
    <row r="131" customFormat="false" ht="15" hidden="false" customHeight="false" outlineLevel="0" collapsed="false">
      <c r="A131" s="13" t="s">
        <v>210</v>
      </c>
      <c r="B131" s="13" t="n">
        <v>4</v>
      </c>
      <c r="C131" s="13" t="s">
        <v>61</v>
      </c>
      <c r="D131" s="13" t="s">
        <v>15</v>
      </c>
      <c r="E131" s="13" t="s">
        <v>55</v>
      </c>
      <c r="F131" s="14" t="n">
        <v>1254</v>
      </c>
      <c r="G131" s="15" t="n">
        <v>13.1</v>
      </c>
    </row>
    <row r="132" customFormat="false" ht="15" hidden="false" customHeight="false" outlineLevel="0" collapsed="false">
      <c r="A132" s="13" t="s">
        <v>211</v>
      </c>
      <c r="B132" s="13" t="n">
        <v>5</v>
      </c>
      <c r="C132" s="13" t="s">
        <v>61</v>
      </c>
      <c r="D132" s="13" t="s">
        <v>15</v>
      </c>
      <c r="E132" s="13" t="s">
        <v>55</v>
      </c>
      <c r="F132" s="14" t="n">
        <v>1189</v>
      </c>
      <c r="G132" s="15" t="n">
        <v>12.43</v>
      </c>
    </row>
    <row r="133" customFormat="false" ht="15" hidden="false" customHeight="false" outlineLevel="0" collapsed="false">
      <c r="A133" s="13" t="s">
        <v>212</v>
      </c>
      <c r="B133" s="13" t="n">
        <v>6</v>
      </c>
      <c r="C133" s="13" t="s">
        <v>61</v>
      </c>
      <c r="D133" s="13" t="s">
        <v>15</v>
      </c>
      <c r="E133" s="13" t="s">
        <v>55</v>
      </c>
      <c r="F133" s="14" t="n">
        <v>1446</v>
      </c>
      <c r="G133" s="15" t="n">
        <v>15.11</v>
      </c>
    </row>
    <row r="134" customFormat="false" ht="15" hidden="false" customHeight="false" outlineLevel="0" collapsed="false">
      <c r="A134" s="13" t="s">
        <v>213</v>
      </c>
      <c r="B134" s="13" t="n">
        <v>7</v>
      </c>
      <c r="C134" s="13" t="s">
        <v>61</v>
      </c>
      <c r="D134" s="13" t="s">
        <v>15</v>
      </c>
      <c r="E134" s="13" t="s">
        <v>55</v>
      </c>
      <c r="F134" s="14" t="n">
        <v>1476</v>
      </c>
      <c r="G134" s="15" t="n">
        <v>15.42</v>
      </c>
    </row>
    <row r="135" customFormat="false" ht="15" hidden="false" customHeight="false" outlineLevel="0" collapsed="false">
      <c r="A135" s="13" t="s">
        <v>214</v>
      </c>
      <c r="B135" s="13" t="n">
        <v>8</v>
      </c>
      <c r="C135" s="13" t="s">
        <v>61</v>
      </c>
      <c r="D135" s="13" t="s">
        <v>15</v>
      </c>
      <c r="E135" s="13" t="s">
        <v>55</v>
      </c>
      <c r="F135" s="14" t="n">
        <v>1287</v>
      </c>
      <c r="G135" s="15" t="n">
        <v>13.45</v>
      </c>
    </row>
    <row r="136" customFormat="false" ht="15" hidden="false" customHeight="false" outlineLevel="0" collapsed="false">
      <c r="A136" s="13" t="s">
        <v>215</v>
      </c>
      <c r="B136" s="13" t="n">
        <v>9</v>
      </c>
      <c r="C136" s="13" t="s">
        <v>61</v>
      </c>
      <c r="D136" s="13" t="s">
        <v>15</v>
      </c>
      <c r="E136" s="13" t="s">
        <v>55</v>
      </c>
      <c r="F136" s="14" t="n">
        <v>1175</v>
      </c>
      <c r="G136" s="15" t="n">
        <v>12.28</v>
      </c>
    </row>
    <row r="137" customFormat="false" ht="15" hidden="false" customHeight="false" outlineLevel="0" collapsed="false">
      <c r="A137" s="13" t="s">
        <v>216</v>
      </c>
      <c r="B137" s="13" t="n">
        <v>10</v>
      </c>
      <c r="C137" s="13" t="s">
        <v>61</v>
      </c>
      <c r="D137" s="13" t="s">
        <v>15</v>
      </c>
      <c r="E137" s="13" t="s">
        <v>55</v>
      </c>
      <c r="F137" s="14" t="n">
        <v>1279</v>
      </c>
      <c r="G137" s="15" t="n">
        <v>13.37</v>
      </c>
    </row>
    <row r="138" customFormat="false" ht="15" hidden="false" customHeight="false" outlineLevel="0" collapsed="false">
      <c r="A138" s="13" t="s">
        <v>217</v>
      </c>
      <c r="B138" s="13" t="n">
        <v>11</v>
      </c>
      <c r="C138" s="13" t="s">
        <v>61</v>
      </c>
      <c r="D138" s="13" t="s">
        <v>15</v>
      </c>
      <c r="E138" s="13" t="s">
        <v>55</v>
      </c>
      <c r="F138" s="14" t="n">
        <v>1154</v>
      </c>
      <c r="G138" s="15" t="n">
        <v>12.06</v>
      </c>
    </row>
    <row r="139" customFormat="false" ht="15" hidden="false" customHeight="false" outlineLevel="0" collapsed="false">
      <c r="A139" s="13" t="s">
        <v>218</v>
      </c>
      <c r="B139" s="13" t="n">
        <v>12</v>
      </c>
      <c r="C139" s="13" t="s">
        <v>61</v>
      </c>
      <c r="D139" s="13" t="s">
        <v>15</v>
      </c>
      <c r="E139" s="13" t="s">
        <v>55</v>
      </c>
      <c r="F139" s="14" t="n">
        <v>1231</v>
      </c>
      <c r="G139" s="15" t="n">
        <v>12.86</v>
      </c>
    </row>
    <row r="140" customFormat="false" ht="15" hidden="false" customHeight="false" outlineLevel="0" collapsed="false">
      <c r="A140" s="13" t="s">
        <v>219</v>
      </c>
      <c r="B140" s="13" t="n">
        <v>13</v>
      </c>
      <c r="C140" s="13" t="s">
        <v>61</v>
      </c>
      <c r="D140" s="13" t="s">
        <v>15</v>
      </c>
      <c r="E140" s="13" t="s">
        <v>55</v>
      </c>
      <c r="F140" s="14" t="n">
        <v>1535</v>
      </c>
      <c r="G140" s="15" t="n">
        <v>16.04</v>
      </c>
    </row>
    <row r="141" customFormat="false" ht="15" hidden="false" customHeight="false" outlineLevel="0" collapsed="false">
      <c r="A141" s="13" t="s">
        <v>220</v>
      </c>
      <c r="B141" s="13" t="n">
        <v>14</v>
      </c>
      <c r="C141" s="13" t="s">
        <v>61</v>
      </c>
      <c r="D141" s="13" t="s">
        <v>15</v>
      </c>
      <c r="E141" s="13" t="s">
        <v>55</v>
      </c>
      <c r="F141" s="14" t="n">
        <v>1749</v>
      </c>
      <c r="G141" s="15" t="n">
        <v>18.28</v>
      </c>
    </row>
    <row r="142" customFormat="false" ht="15" hidden="false" customHeight="false" outlineLevel="0" collapsed="false">
      <c r="A142" s="13" t="s">
        <v>9</v>
      </c>
      <c r="B142" s="13" t="n">
        <v>1</v>
      </c>
      <c r="C142" s="13" t="s">
        <v>86</v>
      </c>
      <c r="D142" s="13" t="s">
        <v>15</v>
      </c>
      <c r="E142" s="13" t="s">
        <v>83</v>
      </c>
      <c r="F142" s="14" t="n">
        <v>2694</v>
      </c>
      <c r="G142" s="15" t="n">
        <v>26.24</v>
      </c>
    </row>
    <row r="143" customFormat="false" ht="15" hidden="false" customHeight="false" outlineLevel="0" collapsed="false">
      <c r="A143" s="13" t="s">
        <v>208</v>
      </c>
      <c r="B143" s="13" t="n">
        <v>2</v>
      </c>
      <c r="C143" s="13" t="s">
        <v>86</v>
      </c>
      <c r="D143" s="13" t="s">
        <v>15</v>
      </c>
      <c r="E143" s="13" t="s">
        <v>83</v>
      </c>
      <c r="F143" s="14" t="n">
        <v>3196</v>
      </c>
      <c r="G143" s="15" t="n">
        <v>31.13</v>
      </c>
    </row>
    <row r="144" customFormat="false" ht="15" hidden="false" customHeight="false" outlineLevel="0" collapsed="false">
      <c r="A144" s="13" t="s">
        <v>209</v>
      </c>
      <c r="B144" s="13" t="n">
        <v>3</v>
      </c>
      <c r="C144" s="13" t="s">
        <v>86</v>
      </c>
      <c r="D144" s="13" t="s">
        <v>15</v>
      </c>
      <c r="E144" s="13" t="s">
        <v>83</v>
      </c>
      <c r="F144" s="14" t="n">
        <v>2963</v>
      </c>
      <c r="G144" s="15" t="n">
        <v>28.86</v>
      </c>
    </row>
    <row r="145" customFormat="false" ht="15" hidden="false" customHeight="false" outlineLevel="0" collapsed="false">
      <c r="A145" s="13" t="s">
        <v>210</v>
      </c>
      <c r="B145" s="13" t="n">
        <v>4</v>
      </c>
      <c r="C145" s="13" t="s">
        <v>86</v>
      </c>
      <c r="D145" s="13" t="s">
        <v>15</v>
      </c>
      <c r="E145" s="13" t="s">
        <v>83</v>
      </c>
      <c r="F145" s="14" t="n">
        <v>3009</v>
      </c>
      <c r="G145" s="15" t="n">
        <v>29.31</v>
      </c>
    </row>
    <row r="146" customFormat="false" ht="15" hidden="false" customHeight="false" outlineLevel="0" collapsed="false">
      <c r="A146" s="13" t="s">
        <v>211</v>
      </c>
      <c r="B146" s="13" t="n">
        <v>5</v>
      </c>
      <c r="C146" s="13" t="s">
        <v>86</v>
      </c>
      <c r="D146" s="13" t="s">
        <v>15</v>
      </c>
      <c r="E146" s="13" t="s">
        <v>83</v>
      </c>
      <c r="F146" s="14" t="n">
        <v>2957</v>
      </c>
      <c r="G146" s="15" t="n">
        <v>28.8</v>
      </c>
    </row>
    <row r="147" customFormat="false" ht="15" hidden="false" customHeight="false" outlineLevel="0" collapsed="false">
      <c r="A147" s="13" t="s">
        <v>212</v>
      </c>
      <c r="B147" s="13" t="n">
        <v>6</v>
      </c>
      <c r="C147" s="13" t="s">
        <v>86</v>
      </c>
      <c r="D147" s="13" t="s">
        <v>15</v>
      </c>
      <c r="E147" s="13" t="s">
        <v>83</v>
      </c>
      <c r="F147" s="14" t="n">
        <v>3689</v>
      </c>
      <c r="G147" s="15" t="n">
        <v>35.93</v>
      </c>
    </row>
    <row r="148" customFormat="false" ht="15" hidden="false" customHeight="false" outlineLevel="0" collapsed="false">
      <c r="A148" s="13" t="s">
        <v>213</v>
      </c>
      <c r="B148" s="13" t="n">
        <v>7</v>
      </c>
      <c r="C148" s="13" t="s">
        <v>86</v>
      </c>
      <c r="D148" s="13" t="s">
        <v>15</v>
      </c>
      <c r="E148" s="13" t="s">
        <v>83</v>
      </c>
      <c r="F148" s="14" t="n">
        <v>3560</v>
      </c>
      <c r="G148" s="15" t="n">
        <v>34.67</v>
      </c>
    </row>
    <row r="149" customFormat="false" ht="15" hidden="false" customHeight="false" outlineLevel="0" collapsed="false">
      <c r="A149" s="13" t="s">
        <v>214</v>
      </c>
      <c r="B149" s="13" t="n">
        <v>8</v>
      </c>
      <c r="C149" s="13" t="s">
        <v>86</v>
      </c>
      <c r="D149" s="13" t="s">
        <v>15</v>
      </c>
      <c r="E149" s="13" t="s">
        <v>83</v>
      </c>
      <c r="F149" s="14" t="n">
        <v>3193</v>
      </c>
      <c r="G149" s="15" t="n">
        <v>31.1</v>
      </c>
    </row>
    <row r="150" customFormat="false" ht="15" hidden="false" customHeight="false" outlineLevel="0" collapsed="false">
      <c r="A150" s="13" t="s">
        <v>215</v>
      </c>
      <c r="B150" s="13" t="n">
        <v>9</v>
      </c>
      <c r="C150" s="13" t="s">
        <v>86</v>
      </c>
      <c r="D150" s="13" t="s">
        <v>15</v>
      </c>
      <c r="E150" s="13" t="s">
        <v>83</v>
      </c>
      <c r="F150" s="14" t="n">
        <v>2856</v>
      </c>
      <c r="G150" s="15" t="n">
        <v>27.82</v>
      </c>
    </row>
    <row r="151" customFormat="false" ht="15" hidden="false" customHeight="false" outlineLevel="0" collapsed="false">
      <c r="A151" s="13" t="s">
        <v>216</v>
      </c>
      <c r="B151" s="13" t="n">
        <v>10</v>
      </c>
      <c r="C151" s="13" t="s">
        <v>86</v>
      </c>
      <c r="D151" s="13" t="s">
        <v>15</v>
      </c>
      <c r="E151" s="13" t="s">
        <v>83</v>
      </c>
      <c r="F151" s="14" t="n">
        <v>3136</v>
      </c>
      <c r="G151" s="15" t="n">
        <v>30.54</v>
      </c>
    </row>
    <row r="152" customFormat="false" ht="15" hidden="false" customHeight="false" outlineLevel="0" collapsed="false">
      <c r="A152" s="13" t="s">
        <v>217</v>
      </c>
      <c r="B152" s="13" t="n">
        <v>11</v>
      </c>
      <c r="C152" s="13" t="s">
        <v>86</v>
      </c>
      <c r="D152" s="13" t="s">
        <v>15</v>
      </c>
      <c r="E152" s="13" t="s">
        <v>83</v>
      </c>
      <c r="F152" s="14" t="n">
        <v>2823</v>
      </c>
      <c r="G152" s="15" t="n">
        <v>27.5</v>
      </c>
    </row>
    <row r="153" customFormat="false" ht="15" hidden="false" customHeight="false" outlineLevel="0" collapsed="false">
      <c r="A153" s="13" t="s">
        <v>218</v>
      </c>
      <c r="B153" s="13" t="n">
        <v>12</v>
      </c>
      <c r="C153" s="13" t="s">
        <v>86</v>
      </c>
      <c r="D153" s="13" t="s">
        <v>15</v>
      </c>
      <c r="E153" s="13" t="s">
        <v>83</v>
      </c>
      <c r="F153" s="14" t="n">
        <v>2926</v>
      </c>
      <c r="G153" s="15" t="n">
        <v>28.5</v>
      </c>
    </row>
    <row r="154" customFormat="false" ht="15" hidden="false" customHeight="false" outlineLevel="0" collapsed="false">
      <c r="A154" s="13" t="s">
        <v>219</v>
      </c>
      <c r="B154" s="13" t="n">
        <v>13</v>
      </c>
      <c r="C154" s="13" t="s">
        <v>86</v>
      </c>
      <c r="D154" s="13" t="s">
        <v>15</v>
      </c>
      <c r="E154" s="13" t="s">
        <v>83</v>
      </c>
      <c r="F154" s="14" t="n">
        <v>3362</v>
      </c>
      <c r="G154" s="15" t="n">
        <v>32.75</v>
      </c>
    </row>
    <row r="155" customFormat="false" ht="15" hidden="false" customHeight="false" outlineLevel="0" collapsed="false">
      <c r="A155" s="13" t="s">
        <v>220</v>
      </c>
      <c r="B155" s="13" t="n">
        <v>14</v>
      </c>
      <c r="C155" s="13" t="s">
        <v>86</v>
      </c>
      <c r="D155" s="13" t="s">
        <v>15</v>
      </c>
      <c r="E155" s="13" t="s">
        <v>83</v>
      </c>
      <c r="F155" s="14" t="n">
        <v>3691</v>
      </c>
      <c r="G155" s="15" t="n">
        <v>35.95</v>
      </c>
    </row>
    <row r="156" customFormat="false" ht="15" hidden="false" customHeight="false" outlineLevel="0" collapsed="false">
      <c r="A156" s="13" t="s">
        <v>9</v>
      </c>
      <c r="B156" s="13" t="n">
        <v>1</v>
      </c>
      <c r="C156" s="13" t="s">
        <v>71</v>
      </c>
      <c r="D156" s="13" t="s">
        <v>15</v>
      </c>
      <c r="E156" s="13" t="s">
        <v>65</v>
      </c>
      <c r="F156" s="14" t="n">
        <v>2526</v>
      </c>
      <c r="G156" s="15" t="n">
        <v>36.12</v>
      </c>
    </row>
    <row r="157" customFormat="false" ht="15" hidden="false" customHeight="false" outlineLevel="0" collapsed="false">
      <c r="A157" s="13" t="s">
        <v>208</v>
      </c>
      <c r="B157" s="13" t="n">
        <v>2</v>
      </c>
      <c r="C157" s="13" t="s">
        <v>71</v>
      </c>
      <c r="D157" s="13" t="s">
        <v>15</v>
      </c>
      <c r="E157" s="13" t="s">
        <v>65</v>
      </c>
      <c r="F157" s="14" t="n">
        <v>2313</v>
      </c>
      <c r="G157" s="15" t="n">
        <v>33.08</v>
      </c>
    </row>
    <row r="158" customFormat="false" ht="15" hidden="false" customHeight="false" outlineLevel="0" collapsed="false">
      <c r="A158" s="13" t="s">
        <v>209</v>
      </c>
      <c r="B158" s="13" t="n">
        <v>3</v>
      </c>
      <c r="C158" s="13" t="s">
        <v>71</v>
      </c>
      <c r="D158" s="13" t="s">
        <v>15</v>
      </c>
      <c r="E158" s="13" t="s">
        <v>65</v>
      </c>
      <c r="F158" s="14" t="n">
        <v>2297</v>
      </c>
      <c r="G158" s="15" t="n">
        <v>32.85</v>
      </c>
    </row>
    <row r="159" customFormat="false" ht="15" hidden="false" customHeight="false" outlineLevel="0" collapsed="false">
      <c r="A159" s="13" t="s">
        <v>210</v>
      </c>
      <c r="B159" s="13" t="n">
        <v>4</v>
      </c>
      <c r="C159" s="13" t="s">
        <v>71</v>
      </c>
      <c r="D159" s="13" t="s">
        <v>15</v>
      </c>
      <c r="E159" s="13" t="s">
        <v>65</v>
      </c>
      <c r="F159" s="14" t="n">
        <v>2169</v>
      </c>
      <c r="G159" s="15" t="n">
        <v>31.02</v>
      </c>
    </row>
    <row r="160" customFormat="false" ht="15" hidden="false" customHeight="false" outlineLevel="0" collapsed="false">
      <c r="A160" s="13" t="s">
        <v>211</v>
      </c>
      <c r="B160" s="13" t="n">
        <v>5</v>
      </c>
      <c r="C160" s="13" t="s">
        <v>71</v>
      </c>
      <c r="D160" s="13" t="s">
        <v>15</v>
      </c>
      <c r="E160" s="13" t="s">
        <v>65</v>
      </c>
      <c r="F160" s="14" t="n">
        <v>2292</v>
      </c>
      <c r="G160" s="15" t="n">
        <v>32.78</v>
      </c>
    </row>
    <row r="161" customFormat="false" ht="15" hidden="false" customHeight="false" outlineLevel="0" collapsed="false">
      <c r="A161" s="13" t="s">
        <v>212</v>
      </c>
      <c r="B161" s="13" t="n">
        <v>6</v>
      </c>
      <c r="C161" s="13" t="s">
        <v>71</v>
      </c>
      <c r="D161" s="13" t="s">
        <v>15</v>
      </c>
      <c r="E161" s="13" t="s">
        <v>65</v>
      </c>
      <c r="F161" s="14" t="n">
        <v>2572</v>
      </c>
      <c r="G161" s="15" t="n">
        <v>36.78</v>
      </c>
    </row>
    <row r="162" customFormat="false" ht="15" hidden="false" customHeight="false" outlineLevel="0" collapsed="false">
      <c r="A162" s="13" t="s">
        <v>213</v>
      </c>
      <c r="B162" s="13" t="n">
        <v>7</v>
      </c>
      <c r="C162" s="13" t="s">
        <v>71</v>
      </c>
      <c r="D162" s="13" t="s">
        <v>15</v>
      </c>
      <c r="E162" s="13" t="s">
        <v>65</v>
      </c>
      <c r="F162" s="14" t="n">
        <v>2688</v>
      </c>
      <c r="G162" s="15" t="n">
        <v>38.44</v>
      </c>
    </row>
    <row r="163" customFormat="false" ht="15" hidden="false" customHeight="false" outlineLevel="0" collapsed="false">
      <c r="A163" s="13" t="s">
        <v>214</v>
      </c>
      <c r="B163" s="13" t="n">
        <v>8</v>
      </c>
      <c r="C163" s="13" t="s">
        <v>71</v>
      </c>
      <c r="D163" s="13" t="s">
        <v>15</v>
      </c>
      <c r="E163" s="13" t="s">
        <v>65</v>
      </c>
      <c r="F163" s="14" t="n">
        <v>2356</v>
      </c>
      <c r="G163" s="15" t="n">
        <v>33.69</v>
      </c>
    </row>
    <row r="164" customFormat="false" ht="15" hidden="false" customHeight="false" outlineLevel="0" collapsed="false">
      <c r="A164" s="13" t="s">
        <v>215</v>
      </c>
      <c r="B164" s="13" t="n">
        <v>9</v>
      </c>
      <c r="C164" s="13" t="s">
        <v>71</v>
      </c>
      <c r="D164" s="13" t="s">
        <v>15</v>
      </c>
      <c r="E164" s="13" t="s">
        <v>65</v>
      </c>
      <c r="F164" s="14" t="n">
        <v>2508</v>
      </c>
      <c r="G164" s="15" t="n">
        <v>35.86</v>
      </c>
    </row>
    <row r="165" customFormat="false" ht="15" hidden="false" customHeight="false" outlineLevel="0" collapsed="false">
      <c r="A165" s="13" t="s">
        <v>216</v>
      </c>
      <c r="B165" s="13" t="n">
        <v>10</v>
      </c>
      <c r="C165" s="13" t="s">
        <v>71</v>
      </c>
      <c r="D165" s="13" t="s">
        <v>15</v>
      </c>
      <c r="E165" s="13" t="s">
        <v>65</v>
      </c>
      <c r="F165" s="14" t="n">
        <v>2716</v>
      </c>
      <c r="G165" s="15" t="n">
        <v>38.84</v>
      </c>
    </row>
    <row r="166" customFormat="false" ht="15" hidden="false" customHeight="false" outlineLevel="0" collapsed="false">
      <c r="A166" s="13" t="s">
        <v>217</v>
      </c>
      <c r="B166" s="13" t="n">
        <v>11</v>
      </c>
      <c r="C166" s="13" t="s">
        <v>71</v>
      </c>
      <c r="D166" s="13" t="s">
        <v>15</v>
      </c>
      <c r="E166" s="13" t="s">
        <v>65</v>
      </c>
      <c r="F166" s="14" t="n">
        <v>2242</v>
      </c>
      <c r="G166" s="15" t="n">
        <v>32.06</v>
      </c>
    </row>
    <row r="167" customFormat="false" ht="15" hidden="false" customHeight="false" outlineLevel="0" collapsed="false">
      <c r="A167" s="13" t="s">
        <v>218</v>
      </c>
      <c r="B167" s="13" t="n">
        <v>12</v>
      </c>
      <c r="C167" s="13" t="s">
        <v>71</v>
      </c>
      <c r="D167" s="13" t="s">
        <v>15</v>
      </c>
      <c r="E167" s="13" t="s">
        <v>65</v>
      </c>
      <c r="F167" s="14" t="n">
        <v>2524</v>
      </c>
      <c r="G167" s="15" t="n">
        <v>36.09</v>
      </c>
    </row>
    <row r="168" customFormat="false" ht="15" hidden="false" customHeight="false" outlineLevel="0" collapsed="false">
      <c r="A168" s="13" t="s">
        <v>219</v>
      </c>
      <c r="B168" s="13" t="n">
        <v>13</v>
      </c>
      <c r="C168" s="13" t="s">
        <v>71</v>
      </c>
      <c r="D168" s="13" t="s">
        <v>15</v>
      </c>
      <c r="E168" s="13" t="s">
        <v>65</v>
      </c>
      <c r="F168" s="14" t="n">
        <v>2885</v>
      </c>
      <c r="G168" s="15" t="n">
        <v>41.26</v>
      </c>
    </row>
    <row r="169" customFormat="false" ht="15" hidden="false" customHeight="false" outlineLevel="0" collapsed="false">
      <c r="A169" s="13" t="s">
        <v>220</v>
      </c>
      <c r="B169" s="13" t="n">
        <v>14</v>
      </c>
      <c r="C169" s="13" t="s">
        <v>71</v>
      </c>
      <c r="D169" s="13" t="s">
        <v>15</v>
      </c>
      <c r="E169" s="13" t="s">
        <v>65</v>
      </c>
      <c r="F169" s="14" t="n">
        <v>2818</v>
      </c>
      <c r="G169" s="15" t="n">
        <v>40.3</v>
      </c>
    </row>
    <row r="170" customFormat="false" ht="15" hidden="false" customHeight="false" outlineLevel="0" collapsed="false">
      <c r="A170" s="13" t="s">
        <v>9</v>
      </c>
      <c r="B170" s="13" t="n">
        <v>1</v>
      </c>
      <c r="C170" s="13" t="s">
        <v>72</v>
      </c>
      <c r="D170" s="13" t="s">
        <v>15</v>
      </c>
      <c r="E170" s="13" t="s">
        <v>65</v>
      </c>
      <c r="F170" s="14" t="n">
        <v>3530</v>
      </c>
      <c r="G170" s="15" t="n">
        <v>51.15</v>
      </c>
    </row>
    <row r="171" customFormat="false" ht="15" hidden="false" customHeight="false" outlineLevel="0" collapsed="false">
      <c r="A171" s="13" t="s">
        <v>208</v>
      </c>
      <c r="B171" s="13" t="n">
        <v>2</v>
      </c>
      <c r="C171" s="13" t="s">
        <v>72</v>
      </c>
      <c r="D171" s="13" t="s">
        <v>15</v>
      </c>
      <c r="E171" s="13" t="s">
        <v>65</v>
      </c>
      <c r="F171" s="14" t="n">
        <v>3453</v>
      </c>
      <c r="G171" s="15" t="n">
        <v>50.03</v>
      </c>
    </row>
    <row r="172" customFormat="false" ht="15" hidden="false" customHeight="false" outlineLevel="0" collapsed="false">
      <c r="A172" s="13" t="s">
        <v>209</v>
      </c>
      <c r="B172" s="13" t="n">
        <v>3</v>
      </c>
      <c r="C172" s="13" t="s">
        <v>72</v>
      </c>
      <c r="D172" s="13" t="s">
        <v>15</v>
      </c>
      <c r="E172" s="13" t="s">
        <v>65</v>
      </c>
      <c r="F172" s="14" t="n">
        <v>3463</v>
      </c>
      <c r="G172" s="15" t="n">
        <v>50.18</v>
      </c>
    </row>
    <row r="173" customFormat="false" ht="15" hidden="false" customHeight="false" outlineLevel="0" collapsed="false">
      <c r="A173" s="13" t="s">
        <v>210</v>
      </c>
      <c r="B173" s="13" t="n">
        <v>4</v>
      </c>
      <c r="C173" s="13" t="s">
        <v>72</v>
      </c>
      <c r="D173" s="13" t="s">
        <v>15</v>
      </c>
      <c r="E173" s="13" t="s">
        <v>65</v>
      </c>
      <c r="F173" s="14" t="n">
        <v>3356</v>
      </c>
      <c r="G173" s="15" t="n">
        <v>48.63</v>
      </c>
    </row>
    <row r="174" customFormat="false" ht="15" hidden="false" customHeight="false" outlineLevel="0" collapsed="false">
      <c r="A174" s="13" t="s">
        <v>211</v>
      </c>
      <c r="B174" s="13" t="n">
        <v>5</v>
      </c>
      <c r="C174" s="13" t="s">
        <v>72</v>
      </c>
      <c r="D174" s="13" t="s">
        <v>15</v>
      </c>
      <c r="E174" s="13" t="s">
        <v>65</v>
      </c>
      <c r="F174" s="14" t="n">
        <v>3152</v>
      </c>
      <c r="G174" s="15" t="n">
        <v>45.67</v>
      </c>
    </row>
    <row r="175" customFormat="false" ht="15" hidden="false" customHeight="false" outlineLevel="0" collapsed="false">
      <c r="A175" s="13" t="s">
        <v>212</v>
      </c>
      <c r="B175" s="13" t="n">
        <v>6</v>
      </c>
      <c r="C175" s="13" t="s">
        <v>72</v>
      </c>
      <c r="D175" s="13" t="s">
        <v>15</v>
      </c>
      <c r="E175" s="13" t="s">
        <v>65</v>
      </c>
      <c r="F175" s="14" t="n">
        <v>3819</v>
      </c>
      <c r="G175" s="15" t="n">
        <v>55.34</v>
      </c>
    </row>
    <row r="176" customFormat="false" ht="15" hidden="false" customHeight="false" outlineLevel="0" collapsed="false">
      <c r="A176" s="13" t="s">
        <v>213</v>
      </c>
      <c r="B176" s="13" t="n">
        <v>7</v>
      </c>
      <c r="C176" s="13" t="s">
        <v>72</v>
      </c>
      <c r="D176" s="13" t="s">
        <v>15</v>
      </c>
      <c r="E176" s="13" t="s">
        <v>65</v>
      </c>
      <c r="F176" s="14" t="n">
        <v>4374</v>
      </c>
      <c r="G176" s="15" t="n">
        <v>63.38</v>
      </c>
    </row>
    <row r="177" customFormat="false" ht="15" hidden="false" customHeight="false" outlineLevel="0" collapsed="false">
      <c r="A177" s="13" t="s">
        <v>214</v>
      </c>
      <c r="B177" s="13" t="n">
        <v>8</v>
      </c>
      <c r="C177" s="13" t="s">
        <v>72</v>
      </c>
      <c r="D177" s="13" t="s">
        <v>15</v>
      </c>
      <c r="E177" s="13" t="s">
        <v>65</v>
      </c>
      <c r="F177" s="14" t="n">
        <v>3383</v>
      </c>
      <c r="G177" s="15" t="n">
        <v>49.02</v>
      </c>
    </row>
    <row r="178" customFormat="false" ht="15" hidden="false" customHeight="false" outlineLevel="0" collapsed="false">
      <c r="A178" s="13" t="s">
        <v>215</v>
      </c>
      <c r="B178" s="13" t="n">
        <v>9</v>
      </c>
      <c r="C178" s="13" t="s">
        <v>72</v>
      </c>
      <c r="D178" s="13" t="s">
        <v>15</v>
      </c>
      <c r="E178" s="13" t="s">
        <v>65</v>
      </c>
      <c r="F178" s="14" t="n">
        <v>3318</v>
      </c>
      <c r="G178" s="15" t="n">
        <v>48.08</v>
      </c>
    </row>
    <row r="179" customFormat="false" ht="15" hidden="false" customHeight="false" outlineLevel="0" collapsed="false">
      <c r="A179" s="13" t="s">
        <v>216</v>
      </c>
      <c r="B179" s="13" t="n">
        <v>10</v>
      </c>
      <c r="C179" s="13" t="s">
        <v>72</v>
      </c>
      <c r="D179" s="13" t="s">
        <v>15</v>
      </c>
      <c r="E179" s="13" t="s">
        <v>65</v>
      </c>
      <c r="F179" s="14" t="n">
        <v>3442</v>
      </c>
      <c r="G179" s="15" t="n">
        <v>49.87</v>
      </c>
    </row>
    <row r="180" customFormat="false" ht="15" hidden="false" customHeight="false" outlineLevel="0" collapsed="false">
      <c r="A180" s="13" t="s">
        <v>217</v>
      </c>
      <c r="B180" s="13" t="n">
        <v>11</v>
      </c>
      <c r="C180" s="13" t="s">
        <v>72</v>
      </c>
      <c r="D180" s="13" t="s">
        <v>15</v>
      </c>
      <c r="E180" s="13" t="s">
        <v>65</v>
      </c>
      <c r="F180" s="14" t="n">
        <v>3605</v>
      </c>
      <c r="G180" s="15" t="n">
        <v>52.24</v>
      </c>
    </row>
    <row r="181" customFormat="false" ht="15" hidden="false" customHeight="false" outlineLevel="0" collapsed="false">
      <c r="A181" s="13" t="s">
        <v>218</v>
      </c>
      <c r="B181" s="13" t="n">
        <v>12</v>
      </c>
      <c r="C181" s="13" t="s">
        <v>72</v>
      </c>
      <c r="D181" s="13" t="s">
        <v>15</v>
      </c>
      <c r="E181" s="13" t="s">
        <v>65</v>
      </c>
      <c r="F181" s="14" t="n">
        <v>3478</v>
      </c>
      <c r="G181" s="15" t="n">
        <v>50.4</v>
      </c>
    </row>
    <row r="182" customFormat="false" ht="15" hidden="false" customHeight="false" outlineLevel="0" collapsed="false">
      <c r="A182" s="13" t="s">
        <v>219</v>
      </c>
      <c r="B182" s="13" t="n">
        <v>13</v>
      </c>
      <c r="C182" s="13" t="s">
        <v>72</v>
      </c>
      <c r="D182" s="13" t="s">
        <v>15</v>
      </c>
      <c r="E182" s="13" t="s">
        <v>65</v>
      </c>
      <c r="F182" s="14" t="n">
        <v>4044</v>
      </c>
      <c r="G182" s="15" t="n">
        <v>58.6</v>
      </c>
    </row>
    <row r="183" customFormat="false" ht="15" hidden="false" customHeight="false" outlineLevel="0" collapsed="false">
      <c r="A183" s="13" t="s">
        <v>220</v>
      </c>
      <c r="B183" s="13" t="n">
        <v>14</v>
      </c>
      <c r="C183" s="13" t="s">
        <v>72</v>
      </c>
      <c r="D183" s="13" t="s">
        <v>15</v>
      </c>
      <c r="E183" s="13" t="s">
        <v>65</v>
      </c>
      <c r="F183" s="14" t="n">
        <v>4519</v>
      </c>
      <c r="G183" s="15" t="n">
        <v>65.48</v>
      </c>
    </row>
    <row r="184" customFormat="false" ht="15" hidden="false" customHeight="false" outlineLevel="0" collapsed="false">
      <c r="A184" s="13" t="s">
        <v>9</v>
      </c>
      <c r="B184" s="13" t="n">
        <v>1</v>
      </c>
      <c r="C184" s="13" t="s">
        <v>70</v>
      </c>
      <c r="D184" s="13" t="s">
        <v>15</v>
      </c>
      <c r="E184" s="13" t="s">
        <v>65</v>
      </c>
      <c r="F184" s="14" t="n">
        <v>4855</v>
      </c>
      <c r="G184" s="15" t="n">
        <v>65.49</v>
      </c>
    </row>
    <row r="185" customFormat="false" ht="15" hidden="false" customHeight="false" outlineLevel="0" collapsed="false">
      <c r="A185" s="13" t="s">
        <v>208</v>
      </c>
      <c r="B185" s="13" t="n">
        <v>2</v>
      </c>
      <c r="C185" s="13" t="s">
        <v>70</v>
      </c>
      <c r="D185" s="13" t="s">
        <v>15</v>
      </c>
      <c r="E185" s="13" t="s">
        <v>65</v>
      </c>
      <c r="F185" s="14" t="n">
        <v>4566</v>
      </c>
      <c r="G185" s="15" t="n">
        <v>61.6</v>
      </c>
    </row>
    <row r="186" customFormat="false" ht="15" hidden="false" customHeight="false" outlineLevel="0" collapsed="false">
      <c r="A186" s="13" t="s">
        <v>209</v>
      </c>
      <c r="B186" s="13" t="n">
        <v>3</v>
      </c>
      <c r="C186" s="13" t="s">
        <v>70</v>
      </c>
      <c r="D186" s="13" t="s">
        <v>15</v>
      </c>
      <c r="E186" s="13" t="s">
        <v>65</v>
      </c>
      <c r="F186" s="14" t="n">
        <v>4694</v>
      </c>
      <c r="G186" s="15" t="n">
        <v>63.32</v>
      </c>
    </row>
    <row r="187" customFormat="false" ht="15" hidden="false" customHeight="false" outlineLevel="0" collapsed="false">
      <c r="A187" s="13" t="s">
        <v>210</v>
      </c>
      <c r="B187" s="13" t="n">
        <v>4</v>
      </c>
      <c r="C187" s="13" t="s">
        <v>70</v>
      </c>
      <c r="D187" s="13" t="s">
        <v>15</v>
      </c>
      <c r="E187" s="13" t="s">
        <v>65</v>
      </c>
      <c r="F187" s="14" t="n">
        <v>4765</v>
      </c>
      <c r="G187" s="15" t="n">
        <v>64.28</v>
      </c>
    </row>
    <row r="188" customFormat="false" ht="15" hidden="false" customHeight="false" outlineLevel="0" collapsed="false">
      <c r="A188" s="13" t="s">
        <v>211</v>
      </c>
      <c r="B188" s="13" t="n">
        <v>5</v>
      </c>
      <c r="C188" s="13" t="s">
        <v>70</v>
      </c>
      <c r="D188" s="13" t="s">
        <v>15</v>
      </c>
      <c r="E188" s="13" t="s">
        <v>65</v>
      </c>
      <c r="F188" s="14" t="n">
        <v>4735</v>
      </c>
      <c r="G188" s="15" t="n">
        <v>63.88</v>
      </c>
    </row>
    <row r="189" customFormat="false" ht="15" hidden="false" customHeight="false" outlineLevel="0" collapsed="false">
      <c r="A189" s="13" t="s">
        <v>212</v>
      </c>
      <c r="B189" s="13" t="n">
        <v>6</v>
      </c>
      <c r="C189" s="13" t="s">
        <v>70</v>
      </c>
      <c r="D189" s="13" t="s">
        <v>15</v>
      </c>
      <c r="E189" s="13" t="s">
        <v>65</v>
      </c>
      <c r="F189" s="14" t="n">
        <v>5625</v>
      </c>
      <c r="G189" s="15" t="n">
        <v>75.88</v>
      </c>
    </row>
    <row r="190" customFormat="false" ht="15" hidden="false" customHeight="false" outlineLevel="0" collapsed="false">
      <c r="A190" s="13" t="s">
        <v>213</v>
      </c>
      <c r="B190" s="13" t="n">
        <v>7</v>
      </c>
      <c r="C190" s="13" t="s">
        <v>70</v>
      </c>
      <c r="D190" s="13" t="s">
        <v>15</v>
      </c>
      <c r="E190" s="13" t="s">
        <v>65</v>
      </c>
      <c r="F190" s="14" t="n">
        <v>5620</v>
      </c>
      <c r="G190" s="15" t="n">
        <v>75.81</v>
      </c>
    </row>
    <row r="191" customFormat="false" ht="15" hidden="false" customHeight="false" outlineLevel="0" collapsed="false">
      <c r="A191" s="13" t="s">
        <v>214</v>
      </c>
      <c r="B191" s="13" t="n">
        <v>8</v>
      </c>
      <c r="C191" s="13" t="s">
        <v>70</v>
      </c>
      <c r="D191" s="13" t="s">
        <v>15</v>
      </c>
      <c r="E191" s="13" t="s">
        <v>65</v>
      </c>
      <c r="F191" s="14" t="n">
        <v>4573</v>
      </c>
      <c r="G191" s="15" t="n">
        <v>61.69</v>
      </c>
    </row>
    <row r="192" customFormat="false" ht="15" hidden="false" customHeight="false" outlineLevel="0" collapsed="false">
      <c r="A192" s="13" t="s">
        <v>215</v>
      </c>
      <c r="B192" s="13" t="n">
        <v>9</v>
      </c>
      <c r="C192" s="13" t="s">
        <v>70</v>
      </c>
      <c r="D192" s="13" t="s">
        <v>15</v>
      </c>
      <c r="E192" s="13" t="s">
        <v>65</v>
      </c>
      <c r="F192" s="14" t="n">
        <v>4143</v>
      </c>
      <c r="G192" s="15" t="n">
        <v>55.89</v>
      </c>
    </row>
    <row r="193" customFormat="false" ht="15" hidden="false" customHeight="false" outlineLevel="0" collapsed="false">
      <c r="A193" s="13" t="s">
        <v>216</v>
      </c>
      <c r="B193" s="13" t="n">
        <v>10</v>
      </c>
      <c r="C193" s="13" t="s">
        <v>70</v>
      </c>
      <c r="D193" s="13" t="s">
        <v>15</v>
      </c>
      <c r="E193" s="13" t="s">
        <v>65</v>
      </c>
      <c r="F193" s="14" t="n">
        <v>4621</v>
      </c>
      <c r="G193" s="15" t="n">
        <v>62.34</v>
      </c>
    </row>
    <row r="194" customFormat="false" ht="15" hidden="false" customHeight="false" outlineLevel="0" collapsed="false">
      <c r="A194" s="13" t="s">
        <v>217</v>
      </c>
      <c r="B194" s="13" t="n">
        <v>11</v>
      </c>
      <c r="C194" s="13" t="s">
        <v>70</v>
      </c>
      <c r="D194" s="13" t="s">
        <v>15</v>
      </c>
      <c r="E194" s="13" t="s">
        <v>65</v>
      </c>
      <c r="F194" s="14" t="n">
        <v>4074</v>
      </c>
      <c r="G194" s="15" t="n">
        <v>54.96</v>
      </c>
    </row>
    <row r="195" customFormat="false" ht="15" hidden="false" customHeight="false" outlineLevel="0" collapsed="false">
      <c r="A195" s="13" t="s">
        <v>218</v>
      </c>
      <c r="B195" s="13" t="n">
        <v>12</v>
      </c>
      <c r="C195" s="13" t="s">
        <v>70</v>
      </c>
      <c r="D195" s="13" t="s">
        <v>15</v>
      </c>
      <c r="E195" s="13" t="s">
        <v>65</v>
      </c>
      <c r="F195" s="14" t="n">
        <v>4223</v>
      </c>
      <c r="G195" s="15" t="n">
        <v>56.97</v>
      </c>
    </row>
    <row r="196" customFormat="false" ht="15" hidden="false" customHeight="false" outlineLevel="0" collapsed="false">
      <c r="A196" s="13" t="s">
        <v>219</v>
      </c>
      <c r="B196" s="13" t="n">
        <v>13</v>
      </c>
      <c r="C196" s="13" t="s">
        <v>70</v>
      </c>
      <c r="D196" s="13" t="s">
        <v>15</v>
      </c>
      <c r="E196" s="13" t="s">
        <v>65</v>
      </c>
      <c r="F196" s="14" t="n">
        <v>5850</v>
      </c>
      <c r="G196" s="15" t="n">
        <v>78.92</v>
      </c>
    </row>
    <row r="197" customFormat="false" ht="15" hidden="false" customHeight="false" outlineLevel="0" collapsed="false">
      <c r="A197" s="13" t="s">
        <v>220</v>
      </c>
      <c r="B197" s="13" t="n">
        <v>14</v>
      </c>
      <c r="C197" s="13" t="s">
        <v>70</v>
      </c>
      <c r="D197" s="13" t="s">
        <v>15</v>
      </c>
      <c r="E197" s="13" t="s">
        <v>65</v>
      </c>
      <c r="F197" s="14" t="n">
        <v>5699</v>
      </c>
      <c r="G197" s="15" t="n">
        <v>76.88</v>
      </c>
    </row>
    <row r="198" customFormat="false" ht="15" hidden="false" customHeight="false" outlineLevel="0" collapsed="false">
      <c r="A198" s="13" t="s">
        <v>9</v>
      </c>
      <c r="B198" s="13" t="n">
        <v>1</v>
      </c>
      <c r="C198" s="13" t="s">
        <v>87</v>
      </c>
      <c r="D198" s="13" t="s">
        <v>15</v>
      </c>
      <c r="E198" s="13" t="s">
        <v>83</v>
      </c>
      <c r="F198" s="14" t="n">
        <v>4310</v>
      </c>
      <c r="G198" s="15" t="n">
        <v>44.13</v>
      </c>
    </row>
    <row r="199" customFormat="false" ht="15" hidden="false" customHeight="false" outlineLevel="0" collapsed="false">
      <c r="A199" s="13" t="s">
        <v>208</v>
      </c>
      <c r="B199" s="13" t="n">
        <v>2</v>
      </c>
      <c r="C199" s="13" t="s">
        <v>87</v>
      </c>
      <c r="D199" s="13" t="s">
        <v>15</v>
      </c>
      <c r="E199" s="13" t="s">
        <v>83</v>
      </c>
      <c r="F199" s="14" t="n">
        <v>3893</v>
      </c>
      <c r="G199" s="15" t="n">
        <v>39.86</v>
      </c>
    </row>
    <row r="200" customFormat="false" ht="15" hidden="false" customHeight="false" outlineLevel="0" collapsed="false">
      <c r="A200" s="13" t="s">
        <v>209</v>
      </c>
      <c r="B200" s="13" t="n">
        <v>3</v>
      </c>
      <c r="C200" s="13" t="s">
        <v>87</v>
      </c>
      <c r="D200" s="13" t="s">
        <v>15</v>
      </c>
      <c r="E200" s="13" t="s">
        <v>83</v>
      </c>
      <c r="F200" s="14" t="n">
        <v>3684</v>
      </c>
      <c r="G200" s="15" t="n">
        <v>37.72</v>
      </c>
    </row>
    <row r="201" customFormat="false" ht="15" hidden="false" customHeight="false" outlineLevel="0" collapsed="false">
      <c r="A201" s="13" t="s">
        <v>210</v>
      </c>
      <c r="B201" s="13" t="n">
        <v>4</v>
      </c>
      <c r="C201" s="13" t="s">
        <v>87</v>
      </c>
      <c r="D201" s="13" t="s">
        <v>15</v>
      </c>
      <c r="E201" s="13" t="s">
        <v>83</v>
      </c>
      <c r="F201" s="14" t="n">
        <v>3900</v>
      </c>
      <c r="G201" s="15" t="n">
        <v>39.94</v>
      </c>
    </row>
    <row r="202" customFormat="false" ht="15" hidden="false" customHeight="false" outlineLevel="0" collapsed="false">
      <c r="A202" s="13" t="s">
        <v>211</v>
      </c>
      <c r="B202" s="13" t="n">
        <v>5</v>
      </c>
      <c r="C202" s="13" t="s">
        <v>87</v>
      </c>
      <c r="D202" s="13" t="s">
        <v>15</v>
      </c>
      <c r="E202" s="13" t="s">
        <v>83</v>
      </c>
      <c r="F202" s="14" t="n">
        <v>3981</v>
      </c>
      <c r="G202" s="15" t="n">
        <v>40.77</v>
      </c>
    </row>
    <row r="203" customFormat="false" ht="15" hidden="false" customHeight="false" outlineLevel="0" collapsed="false">
      <c r="A203" s="13" t="s">
        <v>212</v>
      </c>
      <c r="B203" s="13" t="n">
        <v>6</v>
      </c>
      <c r="C203" s="13" t="s">
        <v>87</v>
      </c>
      <c r="D203" s="13" t="s">
        <v>15</v>
      </c>
      <c r="E203" s="13" t="s">
        <v>83</v>
      </c>
      <c r="F203" s="14" t="n">
        <v>4864</v>
      </c>
      <c r="G203" s="15" t="n">
        <v>49.81</v>
      </c>
    </row>
    <row r="204" customFormat="false" ht="15" hidden="false" customHeight="false" outlineLevel="0" collapsed="false">
      <c r="A204" s="13" t="s">
        <v>213</v>
      </c>
      <c r="B204" s="13" t="n">
        <v>7</v>
      </c>
      <c r="C204" s="13" t="s">
        <v>87</v>
      </c>
      <c r="D204" s="13" t="s">
        <v>15</v>
      </c>
      <c r="E204" s="13" t="s">
        <v>83</v>
      </c>
      <c r="F204" s="14" t="n">
        <v>5170</v>
      </c>
      <c r="G204" s="15" t="n">
        <v>52.94</v>
      </c>
    </row>
    <row r="205" customFormat="false" ht="15" hidden="false" customHeight="false" outlineLevel="0" collapsed="false">
      <c r="A205" s="13" t="s">
        <v>214</v>
      </c>
      <c r="B205" s="13" t="n">
        <v>8</v>
      </c>
      <c r="C205" s="13" t="s">
        <v>87</v>
      </c>
      <c r="D205" s="13" t="s">
        <v>15</v>
      </c>
      <c r="E205" s="13" t="s">
        <v>83</v>
      </c>
      <c r="F205" s="14" t="n">
        <v>3871</v>
      </c>
      <c r="G205" s="15" t="n">
        <v>39.64</v>
      </c>
    </row>
    <row r="206" customFormat="false" ht="15" hidden="false" customHeight="false" outlineLevel="0" collapsed="false">
      <c r="A206" s="13" t="s">
        <v>215</v>
      </c>
      <c r="B206" s="13" t="n">
        <v>9</v>
      </c>
      <c r="C206" s="13" t="s">
        <v>87</v>
      </c>
      <c r="D206" s="13" t="s">
        <v>15</v>
      </c>
      <c r="E206" s="13" t="s">
        <v>83</v>
      </c>
      <c r="F206" s="14" t="n">
        <v>4041</v>
      </c>
      <c r="G206" s="15" t="n">
        <v>41.38</v>
      </c>
    </row>
    <row r="207" customFormat="false" ht="15" hidden="false" customHeight="false" outlineLevel="0" collapsed="false">
      <c r="A207" s="13" t="s">
        <v>216</v>
      </c>
      <c r="B207" s="13" t="n">
        <v>10</v>
      </c>
      <c r="C207" s="13" t="s">
        <v>87</v>
      </c>
      <c r="D207" s="13" t="s">
        <v>15</v>
      </c>
      <c r="E207" s="13" t="s">
        <v>83</v>
      </c>
      <c r="F207" s="14" t="n">
        <v>3722</v>
      </c>
      <c r="G207" s="15" t="n">
        <v>38.11</v>
      </c>
    </row>
    <row r="208" customFormat="false" ht="15" hidden="false" customHeight="false" outlineLevel="0" collapsed="false">
      <c r="A208" s="13" t="s">
        <v>217</v>
      </c>
      <c r="B208" s="13" t="n">
        <v>11</v>
      </c>
      <c r="C208" s="13" t="s">
        <v>87</v>
      </c>
      <c r="D208" s="13" t="s">
        <v>15</v>
      </c>
      <c r="E208" s="13" t="s">
        <v>83</v>
      </c>
      <c r="F208" s="14" t="n">
        <v>4064</v>
      </c>
      <c r="G208" s="15" t="n">
        <v>41.62</v>
      </c>
    </row>
    <row r="209" customFormat="false" ht="15" hidden="false" customHeight="false" outlineLevel="0" collapsed="false">
      <c r="A209" s="13" t="s">
        <v>218</v>
      </c>
      <c r="B209" s="13" t="n">
        <v>12</v>
      </c>
      <c r="C209" s="13" t="s">
        <v>87</v>
      </c>
      <c r="D209" s="13" t="s">
        <v>15</v>
      </c>
      <c r="E209" s="13" t="s">
        <v>83</v>
      </c>
      <c r="F209" s="14" t="n">
        <v>3958</v>
      </c>
      <c r="G209" s="15" t="n">
        <v>40.53</v>
      </c>
    </row>
    <row r="210" customFormat="false" ht="15" hidden="false" customHeight="false" outlineLevel="0" collapsed="false">
      <c r="A210" s="13" t="s">
        <v>219</v>
      </c>
      <c r="B210" s="13" t="n">
        <v>13</v>
      </c>
      <c r="C210" s="13" t="s">
        <v>87</v>
      </c>
      <c r="D210" s="13" t="s">
        <v>15</v>
      </c>
      <c r="E210" s="13" t="s">
        <v>83</v>
      </c>
      <c r="F210" s="14" t="n">
        <v>4623</v>
      </c>
      <c r="G210" s="15" t="n">
        <v>47.34</v>
      </c>
    </row>
    <row r="211" customFormat="false" ht="15" hidden="false" customHeight="false" outlineLevel="0" collapsed="false">
      <c r="A211" s="13" t="s">
        <v>220</v>
      </c>
      <c r="B211" s="13" t="n">
        <v>14</v>
      </c>
      <c r="C211" s="13" t="s">
        <v>87</v>
      </c>
      <c r="D211" s="13" t="s">
        <v>15</v>
      </c>
      <c r="E211" s="13" t="s">
        <v>83</v>
      </c>
      <c r="F211" s="14" t="n">
        <v>4773</v>
      </c>
      <c r="G211" s="15" t="n">
        <v>48.88</v>
      </c>
    </row>
    <row r="212" customFormat="false" ht="15" hidden="false" customHeight="false" outlineLevel="0" collapsed="false">
      <c r="A212" s="13" t="s">
        <v>9</v>
      </c>
      <c r="B212" s="13" t="n">
        <v>1</v>
      </c>
      <c r="C212" s="13" t="s">
        <v>64</v>
      </c>
      <c r="D212" s="13" t="s">
        <v>15</v>
      </c>
      <c r="E212" s="13" t="s">
        <v>65</v>
      </c>
      <c r="F212" s="14" t="n">
        <v>5261</v>
      </c>
      <c r="G212" s="15" t="n">
        <v>82.18</v>
      </c>
    </row>
    <row r="213" customFormat="false" ht="15" hidden="false" customHeight="false" outlineLevel="0" collapsed="false">
      <c r="A213" s="13" t="s">
        <v>208</v>
      </c>
      <c r="B213" s="13" t="n">
        <v>2</v>
      </c>
      <c r="C213" s="13" t="s">
        <v>64</v>
      </c>
      <c r="D213" s="13" t="s">
        <v>15</v>
      </c>
      <c r="E213" s="13" t="s">
        <v>65</v>
      </c>
      <c r="F213" s="14" t="n">
        <v>5233</v>
      </c>
      <c r="G213" s="15" t="n">
        <v>81.74</v>
      </c>
    </row>
    <row r="214" customFormat="false" ht="15" hidden="false" customHeight="false" outlineLevel="0" collapsed="false">
      <c r="A214" s="13" t="s">
        <v>209</v>
      </c>
      <c r="B214" s="13" t="n">
        <v>3</v>
      </c>
      <c r="C214" s="13" t="s">
        <v>64</v>
      </c>
      <c r="D214" s="13" t="s">
        <v>15</v>
      </c>
      <c r="E214" s="13" t="s">
        <v>65</v>
      </c>
      <c r="F214" s="14" t="n">
        <v>5885</v>
      </c>
      <c r="G214" s="15" t="n">
        <v>91.92</v>
      </c>
    </row>
    <row r="215" customFormat="false" ht="15" hidden="false" customHeight="false" outlineLevel="0" collapsed="false">
      <c r="A215" s="13" t="s">
        <v>210</v>
      </c>
      <c r="B215" s="13" t="n">
        <v>4</v>
      </c>
      <c r="C215" s="13" t="s">
        <v>64</v>
      </c>
      <c r="D215" s="13" t="s">
        <v>15</v>
      </c>
      <c r="E215" s="13" t="s">
        <v>65</v>
      </c>
      <c r="F215" s="14" t="n">
        <v>5288</v>
      </c>
      <c r="G215" s="15" t="n">
        <v>82.6</v>
      </c>
    </row>
    <row r="216" customFormat="false" ht="15" hidden="false" customHeight="false" outlineLevel="0" collapsed="false">
      <c r="A216" s="13" t="s">
        <v>211</v>
      </c>
      <c r="B216" s="13" t="n">
        <v>5</v>
      </c>
      <c r="C216" s="13" t="s">
        <v>64</v>
      </c>
      <c r="D216" s="13" t="s">
        <v>15</v>
      </c>
      <c r="E216" s="13" t="s">
        <v>65</v>
      </c>
      <c r="F216" s="14" t="n">
        <v>5242</v>
      </c>
      <c r="G216" s="15" t="n">
        <v>81.88</v>
      </c>
    </row>
    <row r="217" customFormat="false" ht="15" hidden="false" customHeight="false" outlineLevel="0" collapsed="false">
      <c r="A217" s="13" t="s">
        <v>212</v>
      </c>
      <c r="B217" s="13" t="n">
        <v>6</v>
      </c>
      <c r="C217" s="13" t="s">
        <v>64</v>
      </c>
      <c r="D217" s="13" t="s">
        <v>15</v>
      </c>
      <c r="E217" s="13" t="s">
        <v>65</v>
      </c>
      <c r="F217" s="14" t="n">
        <v>5689</v>
      </c>
      <c r="G217" s="15" t="n">
        <v>88.86</v>
      </c>
    </row>
    <row r="218" customFormat="false" ht="15" hidden="false" customHeight="false" outlineLevel="0" collapsed="false">
      <c r="A218" s="13" t="s">
        <v>213</v>
      </c>
      <c r="B218" s="13" t="n">
        <v>7</v>
      </c>
      <c r="C218" s="13" t="s">
        <v>64</v>
      </c>
      <c r="D218" s="13" t="s">
        <v>15</v>
      </c>
      <c r="E218" s="13" t="s">
        <v>65</v>
      </c>
      <c r="F218" s="14" t="n">
        <v>6159</v>
      </c>
      <c r="G218" s="15" t="n">
        <v>96.2</v>
      </c>
    </row>
    <row r="219" customFormat="false" ht="15" hidden="false" customHeight="false" outlineLevel="0" collapsed="false">
      <c r="A219" s="13" t="s">
        <v>214</v>
      </c>
      <c r="B219" s="13" t="n">
        <v>8</v>
      </c>
      <c r="C219" s="13" t="s">
        <v>64</v>
      </c>
      <c r="D219" s="13" t="s">
        <v>15</v>
      </c>
      <c r="E219" s="13" t="s">
        <v>65</v>
      </c>
      <c r="F219" s="14" t="n">
        <v>5235</v>
      </c>
      <c r="G219" s="15" t="n">
        <v>81.77</v>
      </c>
    </row>
    <row r="220" customFormat="false" ht="15" hidden="false" customHeight="false" outlineLevel="0" collapsed="false">
      <c r="A220" s="13" t="s">
        <v>215</v>
      </c>
      <c r="B220" s="13" t="n">
        <v>9</v>
      </c>
      <c r="C220" s="13" t="s">
        <v>64</v>
      </c>
      <c r="D220" s="13" t="s">
        <v>15</v>
      </c>
      <c r="E220" s="13" t="s">
        <v>65</v>
      </c>
      <c r="F220" s="14" t="n">
        <v>5101</v>
      </c>
      <c r="G220" s="15" t="n">
        <v>79.68</v>
      </c>
    </row>
    <row r="221" customFormat="false" ht="15" hidden="false" customHeight="false" outlineLevel="0" collapsed="false">
      <c r="A221" s="13" t="s">
        <v>216</v>
      </c>
      <c r="B221" s="13" t="n">
        <v>10</v>
      </c>
      <c r="C221" s="13" t="s">
        <v>64</v>
      </c>
      <c r="D221" s="13" t="s">
        <v>15</v>
      </c>
      <c r="E221" s="13" t="s">
        <v>65</v>
      </c>
      <c r="F221" s="14" t="n">
        <v>5760</v>
      </c>
      <c r="G221" s="15" t="n">
        <v>89.97</v>
      </c>
    </row>
    <row r="222" customFormat="false" ht="15" hidden="false" customHeight="false" outlineLevel="0" collapsed="false">
      <c r="A222" s="13" t="s">
        <v>217</v>
      </c>
      <c r="B222" s="13" t="n">
        <v>11</v>
      </c>
      <c r="C222" s="13" t="s">
        <v>64</v>
      </c>
      <c r="D222" s="13" t="s">
        <v>15</v>
      </c>
      <c r="E222" s="13" t="s">
        <v>65</v>
      </c>
      <c r="F222" s="14" t="n">
        <v>5267</v>
      </c>
      <c r="G222" s="15" t="n">
        <v>82.27</v>
      </c>
    </row>
    <row r="223" customFormat="false" ht="15" hidden="false" customHeight="false" outlineLevel="0" collapsed="false">
      <c r="A223" s="13" t="s">
        <v>218</v>
      </c>
      <c r="B223" s="13" t="n">
        <v>12</v>
      </c>
      <c r="C223" s="13" t="s">
        <v>64</v>
      </c>
      <c r="D223" s="13" t="s">
        <v>15</v>
      </c>
      <c r="E223" s="13" t="s">
        <v>65</v>
      </c>
      <c r="F223" s="14" t="n">
        <v>5731</v>
      </c>
      <c r="G223" s="15" t="n">
        <v>89.52</v>
      </c>
    </row>
    <row r="224" customFormat="false" ht="15" hidden="false" customHeight="false" outlineLevel="0" collapsed="false">
      <c r="A224" s="13" t="s">
        <v>219</v>
      </c>
      <c r="B224" s="13" t="n">
        <v>13</v>
      </c>
      <c r="C224" s="13" t="s">
        <v>64</v>
      </c>
      <c r="D224" s="13" t="s">
        <v>15</v>
      </c>
      <c r="E224" s="13" t="s">
        <v>65</v>
      </c>
      <c r="F224" s="14" t="n">
        <v>6532</v>
      </c>
      <c r="G224" s="15" t="n">
        <v>102.03</v>
      </c>
    </row>
    <row r="225" customFormat="false" ht="15" hidden="false" customHeight="false" outlineLevel="0" collapsed="false">
      <c r="A225" s="13" t="s">
        <v>220</v>
      </c>
      <c r="B225" s="13" t="n">
        <v>14</v>
      </c>
      <c r="C225" s="13" t="s">
        <v>64</v>
      </c>
      <c r="D225" s="13" t="s">
        <v>15</v>
      </c>
      <c r="E225" s="13" t="s">
        <v>65</v>
      </c>
      <c r="F225" s="14" t="n">
        <v>6522</v>
      </c>
      <c r="G225" s="15" t="n">
        <v>101.87</v>
      </c>
    </row>
    <row r="226" customFormat="false" ht="15" hidden="false" customHeight="false" outlineLevel="0" collapsed="false">
      <c r="A226" s="13" t="s">
        <v>9</v>
      </c>
      <c r="B226" s="13" t="n">
        <v>1</v>
      </c>
      <c r="C226" s="13" t="s">
        <v>88</v>
      </c>
      <c r="D226" s="13" t="s">
        <v>15</v>
      </c>
      <c r="E226" s="13" t="s">
        <v>83</v>
      </c>
      <c r="F226" s="14" t="n">
        <v>5254</v>
      </c>
      <c r="G226" s="15" t="n">
        <v>56.9</v>
      </c>
    </row>
    <row r="227" customFormat="false" ht="15" hidden="false" customHeight="false" outlineLevel="0" collapsed="false">
      <c r="A227" s="13" t="s">
        <v>208</v>
      </c>
      <c r="B227" s="13" t="n">
        <v>2</v>
      </c>
      <c r="C227" s="13" t="s">
        <v>88</v>
      </c>
      <c r="D227" s="13" t="s">
        <v>15</v>
      </c>
      <c r="E227" s="13" t="s">
        <v>83</v>
      </c>
      <c r="F227" s="14" t="n">
        <v>5283</v>
      </c>
      <c r="G227" s="15" t="n">
        <v>57.21</v>
      </c>
    </row>
    <row r="228" customFormat="false" ht="15" hidden="false" customHeight="false" outlineLevel="0" collapsed="false">
      <c r="A228" s="13" t="s">
        <v>209</v>
      </c>
      <c r="B228" s="13" t="n">
        <v>3</v>
      </c>
      <c r="C228" s="13" t="s">
        <v>88</v>
      </c>
      <c r="D228" s="13" t="s">
        <v>15</v>
      </c>
      <c r="E228" s="13" t="s">
        <v>83</v>
      </c>
      <c r="F228" s="14" t="n">
        <v>5827</v>
      </c>
      <c r="G228" s="15" t="n">
        <v>63.11</v>
      </c>
    </row>
    <row r="229" customFormat="false" ht="15" hidden="false" customHeight="false" outlineLevel="0" collapsed="false">
      <c r="A229" s="13" t="s">
        <v>210</v>
      </c>
      <c r="B229" s="13" t="n">
        <v>4</v>
      </c>
      <c r="C229" s="13" t="s">
        <v>88</v>
      </c>
      <c r="D229" s="13" t="s">
        <v>15</v>
      </c>
      <c r="E229" s="13" t="s">
        <v>83</v>
      </c>
      <c r="F229" s="14" t="n">
        <v>4547</v>
      </c>
      <c r="G229" s="15" t="n">
        <v>49.24</v>
      </c>
    </row>
    <row r="230" customFormat="false" ht="15" hidden="false" customHeight="false" outlineLevel="0" collapsed="false">
      <c r="A230" s="13" t="s">
        <v>211</v>
      </c>
      <c r="B230" s="13" t="n">
        <v>5</v>
      </c>
      <c r="C230" s="13" t="s">
        <v>88</v>
      </c>
      <c r="D230" s="13" t="s">
        <v>15</v>
      </c>
      <c r="E230" s="13" t="s">
        <v>83</v>
      </c>
      <c r="F230" s="14" t="n">
        <v>4648</v>
      </c>
      <c r="G230" s="15" t="n">
        <v>50.34</v>
      </c>
    </row>
    <row r="231" customFormat="false" ht="15" hidden="false" customHeight="false" outlineLevel="0" collapsed="false">
      <c r="A231" s="13" t="s">
        <v>212</v>
      </c>
      <c r="B231" s="13" t="n">
        <v>6</v>
      </c>
      <c r="C231" s="13" t="s">
        <v>88</v>
      </c>
      <c r="D231" s="13" t="s">
        <v>15</v>
      </c>
      <c r="E231" s="13" t="s">
        <v>83</v>
      </c>
      <c r="F231" s="14" t="n">
        <v>6252</v>
      </c>
      <c r="G231" s="15" t="n">
        <v>67.71</v>
      </c>
    </row>
    <row r="232" customFormat="false" ht="15" hidden="false" customHeight="false" outlineLevel="0" collapsed="false">
      <c r="A232" s="13" t="s">
        <v>213</v>
      </c>
      <c r="B232" s="13" t="n">
        <v>7</v>
      </c>
      <c r="C232" s="13" t="s">
        <v>88</v>
      </c>
      <c r="D232" s="13" t="s">
        <v>15</v>
      </c>
      <c r="E232" s="13" t="s">
        <v>83</v>
      </c>
      <c r="F232" s="14" t="n">
        <v>6468</v>
      </c>
      <c r="G232" s="15" t="n">
        <v>70.05</v>
      </c>
    </row>
    <row r="233" customFormat="false" ht="15" hidden="false" customHeight="false" outlineLevel="0" collapsed="false">
      <c r="A233" s="13" t="s">
        <v>214</v>
      </c>
      <c r="B233" s="13" t="n">
        <v>8</v>
      </c>
      <c r="C233" s="13" t="s">
        <v>88</v>
      </c>
      <c r="D233" s="13" t="s">
        <v>15</v>
      </c>
      <c r="E233" s="13" t="s">
        <v>83</v>
      </c>
      <c r="F233" s="14" t="n">
        <v>5501</v>
      </c>
      <c r="G233" s="15" t="n">
        <v>59.58</v>
      </c>
    </row>
    <row r="234" customFormat="false" ht="15" hidden="false" customHeight="false" outlineLevel="0" collapsed="false">
      <c r="A234" s="13" t="s">
        <v>215</v>
      </c>
      <c r="B234" s="13" t="n">
        <v>9</v>
      </c>
      <c r="C234" s="13" t="s">
        <v>88</v>
      </c>
      <c r="D234" s="13" t="s">
        <v>15</v>
      </c>
      <c r="E234" s="13" t="s">
        <v>83</v>
      </c>
      <c r="F234" s="14" t="n">
        <v>5432</v>
      </c>
      <c r="G234" s="15" t="n">
        <v>58.83</v>
      </c>
    </row>
    <row r="235" customFormat="false" ht="15" hidden="false" customHeight="false" outlineLevel="0" collapsed="false">
      <c r="A235" s="13" t="s">
        <v>216</v>
      </c>
      <c r="B235" s="13" t="n">
        <v>10</v>
      </c>
      <c r="C235" s="13" t="s">
        <v>88</v>
      </c>
      <c r="D235" s="13" t="s">
        <v>15</v>
      </c>
      <c r="E235" s="13" t="s">
        <v>83</v>
      </c>
      <c r="F235" s="14" t="n">
        <v>5160</v>
      </c>
      <c r="G235" s="15" t="n">
        <v>55.88</v>
      </c>
    </row>
    <row r="236" customFormat="false" ht="15" hidden="false" customHeight="false" outlineLevel="0" collapsed="false">
      <c r="A236" s="13" t="s">
        <v>217</v>
      </c>
      <c r="B236" s="13" t="n">
        <v>11</v>
      </c>
      <c r="C236" s="13" t="s">
        <v>88</v>
      </c>
      <c r="D236" s="13" t="s">
        <v>15</v>
      </c>
      <c r="E236" s="13" t="s">
        <v>83</v>
      </c>
      <c r="F236" s="14" t="n">
        <v>5605</v>
      </c>
      <c r="G236" s="15" t="n">
        <v>60.7</v>
      </c>
    </row>
    <row r="237" customFormat="false" ht="15" hidden="false" customHeight="false" outlineLevel="0" collapsed="false">
      <c r="A237" s="13" t="s">
        <v>218</v>
      </c>
      <c r="B237" s="13" t="n">
        <v>12</v>
      </c>
      <c r="C237" s="13" t="s">
        <v>88</v>
      </c>
      <c r="D237" s="13" t="s">
        <v>15</v>
      </c>
      <c r="E237" s="13" t="s">
        <v>83</v>
      </c>
      <c r="F237" s="14" t="n">
        <v>5609</v>
      </c>
      <c r="G237" s="15" t="n">
        <v>60.75</v>
      </c>
    </row>
    <row r="238" customFormat="false" ht="15" hidden="false" customHeight="false" outlineLevel="0" collapsed="false">
      <c r="A238" s="13" t="s">
        <v>219</v>
      </c>
      <c r="B238" s="13" t="n">
        <v>13</v>
      </c>
      <c r="C238" s="13" t="s">
        <v>88</v>
      </c>
      <c r="D238" s="13" t="s">
        <v>15</v>
      </c>
      <c r="E238" s="13" t="s">
        <v>83</v>
      </c>
      <c r="F238" s="14" t="n">
        <v>6534</v>
      </c>
      <c r="G238" s="15" t="n">
        <v>70.76</v>
      </c>
    </row>
    <row r="239" customFormat="false" ht="15" hidden="false" customHeight="false" outlineLevel="0" collapsed="false">
      <c r="A239" s="13" t="s">
        <v>220</v>
      </c>
      <c r="B239" s="13" t="n">
        <v>14</v>
      </c>
      <c r="C239" s="13" t="s">
        <v>88</v>
      </c>
      <c r="D239" s="13" t="s">
        <v>15</v>
      </c>
      <c r="E239" s="13" t="s">
        <v>83</v>
      </c>
      <c r="F239" s="14" t="n">
        <v>6835</v>
      </c>
      <c r="G239" s="15" t="n">
        <v>74.02</v>
      </c>
    </row>
    <row r="240" customFormat="false" ht="15" hidden="false" customHeight="false" outlineLevel="0" collapsed="false">
      <c r="A240" s="13" t="s">
        <v>9</v>
      </c>
      <c r="B240" s="13" t="n">
        <v>1</v>
      </c>
      <c r="C240" s="13" t="s">
        <v>51</v>
      </c>
      <c r="D240" s="13" t="s">
        <v>15</v>
      </c>
      <c r="E240" s="13" t="s">
        <v>47</v>
      </c>
      <c r="F240" s="14" t="n">
        <v>14810</v>
      </c>
      <c r="G240" s="15" t="n">
        <v>139.21</v>
      </c>
    </row>
    <row r="241" customFormat="false" ht="15" hidden="false" customHeight="false" outlineLevel="0" collapsed="false">
      <c r="A241" s="13" t="s">
        <v>208</v>
      </c>
      <c r="B241" s="13" t="n">
        <v>2</v>
      </c>
      <c r="C241" s="13" t="s">
        <v>51</v>
      </c>
      <c r="D241" s="13" t="s">
        <v>15</v>
      </c>
      <c r="E241" s="13" t="s">
        <v>47</v>
      </c>
      <c r="F241" s="14" t="n">
        <v>14081</v>
      </c>
      <c r="G241" s="15" t="n">
        <v>132.36</v>
      </c>
    </row>
    <row r="242" customFormat="false" ht="15" hidden="false" customHeight="false" outlineLevel="0" collapsed="false">
      <c r="A242" s="13" t="s">
        <v>209</v>
      </c>
      <c r="B242" s="13" t="n">
        <v>3</v>
      </c>
      <c r="C242" s="13" t="s">
        <v>51</v>
      </c>
      <c r="D242" s="13" t="s">
        <v>15</v>
      </c>
      <c r="E242" s="13" t="s">
        <v>47</v>
      </c>
      <c r="F242" s="14" t="n">
        <v>15182</v>
      </c>
      <c r="G242" s="15" t="n">
        <v>142.71</v>
      </c>
    </row>
    <row r="243" customFormat="false" ht="15" hidden="false" customHeight="false" outlineLevel="0" collapsed="false">
      <c r="A243" s="13" t="s">
        <v>210</v>
      </c>
      <c r="B243" s="13" t="n">
        <v>4</v>
      </c>
      <c r="C243" s="13" t="s">
        <v>51</v>
      </c>
      <c r="D243" s="13" t="s">
        <v>15</v>
      </c>
      <c r="E243" s="13" t="s">
        <v>47</v>
      </c>
      <c r="F243" s="14" t="n">
        <v>14668</v>
      </c>
      <c r="G243" s="15" t="n">
        <v>137.88</v>
      </c>
    </row>
    <row r="244" customFormat="false" ht="15" hidden="false" customHeight="false" outlineLevel="0" collapsed="false">
      <c r="A244" s="13" t="s">
        <v>211</v>
      </c>
      <c r="B244" s="13" t="n">
        <v>5</v>
      </c>
      <c r="C244" s="13" t="s">
        <v>51</v>
      </c>
      <c r="D244" s="13" t="s">
        <v>15</v>
      </c>
      <c r="E244" s="13" t="s">
        <v>47</v>
      </c>
      <c r="F244" s="14" t="n">
        <v>14573</v>
      </c>
      <c r="G244" s="15" t="n">
        <v>136.99</v>
      </c>
    </row>
    <row r="245" customFormat="false" ht="15" hidden="false" customHeight="false" outlineLevel="0" collapsed="false">
      <c r="A245" s="13" t="s">
        <v>212</v>
      </c>
      <c r="B245" s="13" t="n">
        <v>6</v>
      </c>
      <c r="C245" s="13" t="s">
        <v>51</v>
      </c>
      <c r="D245" s="13" t="s">
        <v>15</v>
      </c>
      <c r="E245" s="13" t="s">
        <v>47</v>
      </c>
      <c r="F245" s="14" t="n">
        <v>19402</v>
      </c>
      <c r="G245" s="15" t="n">
        <v>182.38</v>
      </c>
    </row>
    <row r="246" customFormat="false" ht="15" hidden="false" customHeight="false" outlineLevel="0" collapsed="false">
      <c r="A246" s="13" t="s">
        <v>213</v>
      </c>
      <c r="B246" s="13" t="n">
        <v>7</v>
      </c>
      <c r="C246" s="13" t="s">
        <v>51</v>
      </c>
      <c r="D246" s="13" t="s">
        <v>15</v>
      </c>
      <c r="E246" s="13" t="s">
        <v>47</v>
      </c>
      <c r="F246" s="14" t="n">
        <v>15205</v>
      </c>
      <c r="G246" s="15" t="n">
        <v>142.93</v>
      </c>
    </row>
    <row r="247" customFormat="false" ht="15" hidden="false" customHeight="false" outlineLevel="0" collapsed="false">
      <c r="A247" s="13" t="s">
        <v>214</v>
      </c>
      <c r="B247" s="13" t="n">
        <v>8</v>
      </c>
      <c r="C247" s="13" t="s">
        <v>51</v>
      </c>
      <c r="D247" s="13" t="s">
        <v>15</v>
      </c>
      <c r="E247" s="13" t="s">
        <v>47</v>
      </c>
      <c r="F247" s="14" t="n">
        <v>13332</v>
      </c>
      <c r="G247" s="15" t="n">
        <v>125.32</v>
      </c>
    </row>
    <row r="248" customFormat="false" ht="15" hidden="false" customHeight="false" outlineLevel="0" collapsed="false">
      <c r="A248" s="13" t="s">
        <v>215</v>
      </c>
      <c r="B248" s="13" t="n">
        <v>9</v>
      </c>
      <c r="C248" s="13" t="s">
        <v>51</v>
      </c>
      <c r="D248" s="13" t="s">
        <v>15</v>
      </c>
      <c r="E248" s="13" t="s">
        <v>47</v>
      </c>
      <c r="F248" s="14" t="n">
        <v>13534</v>
      </c>
      <c r="G248" s="15" t="n">
        <v>127.22</v>
      </c>
    </row>
    <row r="249" customFormat="false" ht="15" hidden="false" customHeight="false" outlineLevel="0" collapsed="false">
      <c r="A249" s="13" t="s">
        <v>216</v>
      </c>
      <c r="B249" s="13" t="n">
        <v>10</v>
      </c>
      <c r="C249" s="13" t="s">
        <v>51</v>
      </c>
      <c r="D249" s="13" t="s">
        <v>15</v>
      </c>
      <c r="E249" s="13" t="s">
        <v>47</v>
      </c>
      <c r="F249" s="14" t="n">
        <v>14254</v>
      </c>
      <c r="G249" s="15" t="n">
        <v>133.99</v>
      </c>
    </row>
    <row r="250" customFormat="false" ht="15" hidden="false" customHeight="false" outlineLevel="0" collapsed="false">
      <c r="A250" s="13" t="s">
        <v>217</v>
      </c>
      <c r="B250" s="13" t="n">
        <v>11</v>
      </c>
      <c r="C250" s="13" t="s">
        <v>51</v>
      </c>
      <c r="D250" s="13" t="s">
        <v>15</v>
      </c>
      <c r="E250" s="13" t="s">
        <v>47</v>
      </c>
      <c r="F250" s="14" t="n">
        <v>14349</v>
      </c>
      <c r="G250" s="15" t="n">
        <v>134.88</v>
      </c>
    </row>
    <row r="251" customFormat="false" ht="15" hidden="false" customHeight="false" outlineLevel="0" collapsed="false">
      <c r="A251" s="13" t="s">
        <v>218</v>
      </c>
      <c r="B251" s="13" t="n">
        <v>12</v>
      </c>
      <c r="C251" s="13" t="s">
        <v>51</v>
      </c>
      <c r="D251" s="13" t="s">
        <v>15</v>
      </c>
      <c r="E251" s="13" t="s">
        <v>47</v>
      </c>
      <c r="F251" s="14" t="n">
        <v>13254</v>
      </c>
      <c r="G251" s="15" t="n">
        <v>124.59</v>
      </c>
    </row>
    <row r="252" customFormat="false" ht="15" hidden="false" customHeight="false" outlineLevel="0" collapsed="false">
      <c r="A252" s="13" t="s">
        <v>219</v>
      </c>
      <c r="B252" s="13" t="n">
        <v>13</v>
      </c>
      <c r="C252" s="13" t="s">
        <v>51</v>
      </c>
      <c r="D252" s="13" t="s">
        <v>15</v>
      </c>
      <c r="E252" s="13" t="s">
        <v>47</v>
      </c>
      <c r="F252" s="14" t="n">
        <v>16773</v>
      </c>
      <c r="G252" s="15" t="n">
        <v>157.67</v>
      </c>
    </row>
    <row r="253" customFormat="false" ht="15" hidden="false" customHeight="false" outlineLevel="0" collapsed="false">
      <c r="A253" s="13" t="s">
        <v>220</v>
      </c>
      <c r="B253" s="13" t="n">
        <v>14</v>
      </c>
      <c r="C253" s="13" t="s">
        <v>51</v>
      </c>
      <c r="D253" s="13" t="s">
        <v>15</v>
      </c>
      <c r="E253" s="13" t="s">
        <v>47</v>
      </c>
      <c r="F253" s="14" t="n">
        <v>16906</v>
      </c>
      <c r="G253" s="15" t="n">
        <v>158.92</v>
      </c>
    </row>
    <row r="254" customFormat="false" ht="15" hidden="false" customHeight="false" outlineLevel="0" collapsed="false">
      <c r="A254" s="13" t="s">
        <v>9</v>
      </c>
      <c r="B254" s="13" t="n">
        <v>1</v>
      </c>
      <c r="C254" s="13" t="s">
        <v>63</v>
      </c>
      <c r="D254" s="13" t="s">
        <v>15</v>
      </c>
      <c r="E254" s="13" t="s">
        <v>55</v>
      </c>
      <c r="F254" s="14" t="n">
        <v>1372</v>
      </c>
      <c r="G254" s="15" t="n">
        <v>14.94</v>
      </c>
    </row>
    <row r="255" customFormat="false" ht="15" hidden="false" customHeight="false" outlineLevel="0" collapsed="false">
      <c r="A255" s="13" t="s">
        <v>208</v>
      </c>
      <c r="B255" s="13" t="n">
        <v>2</v>
      </c>
      <c r="C255" s="13" t="s">
        <v>63</v>
      </c>
      <c r="D255" s="13" t="s">
        <v>15</v>
      </c>
      <c r="E255" s="13" t="s">
        <v>55</v>
      </c>
      <c r="F255" s="14" t="n">
        <v>1325</v>
      </c>
      <c r="G255" s="15" t="n">
        <v>14.43</v>
      </c>
    </row>
    <row r="256" customFormat="false" ht="15" hidden="false" customHeight="false" outlineLevel="0" collapsed="false">
      <c r="A256" s="13" t="s">
        <v>209</v>
      </c>
      <c r="B256" s="13" t="n">
        <v>3</v>
      </c>
      <c r="C256" s="13" t="s">
        <v>63</v>
      </c>
      <c r="D256" s="13" t="s">
        <v>15</v>
      </c>
      <c r="E256" s="13" t="s">
        <v>55</v>
      </c>
      <c r="F256" s="14" t="n">
        <v>1167</v>
      </c>
      <c r="G256" s="15" t="n">
        <v>12.71</v>
      </c>
    </row>
    <row r="257" customFormat="false" ht="15" hidden="false" customHeight="false" outlineLevel="0" collapsed="false">
      <c r="A257" s="13" t="s">
        <v>210</v>
      </c>
      <c r="B257" s="13" t="n">
        <v>4</v>
      </c>
      <c r="C257" s="13" t="s">
        <v>63</v>
      </c>
      <c r="D257" s="13" t="s">
        <v>15</v>
      </c>
      <c r="E257" s="13" t="s">
        <v>55</v>
      </c>
      <c r="F257" s="14" t="n">
        <v>1170</v>
      </c>
      <c r="G257" s="15" t="n">
        <v>12.74</v>
      </c>
    </row>
    <row r="258" customFormat="false" ht="15" hidden="false" customHeight="false" outlineLevel="0" collapsed="false">
      <c r="A258" s="13" t="s">
        <v>211</v>
      </c>
      <c r="B258" s="13" t="n">
        <v>5</v>
      </c>
      <c r="C258" s="13" t="s">
        <v>63</v>
      </c>
      <c r="D258" s="13" t="s">
        <v>15</v>
      </c>
      <c r="E258" s="13" t="s">
        <v>55</v>
      </c>
      <c r="F258" s="14" t="n">
        <v>1114</v>
      </c>
      <c r="G258" s="15" t="n">
        <v>12.13</v>
      </c>
    </row>
    <row r="259" customFormat="false" ht="15" hidden="false" customHeight="false" outlineLevel="0" collapsed="false">
      <c r="A259" s="13" t="s">
        <v>212</v>
      </c>
      <c r="B259" s="13" t="n">
        <v>6</v>
      </c>
      <c r="C259" s="13" t="s">
        <v>63</v>
      </c>
      <c r="D259" s="13" t="s">
        <v>15</v>
      </c>
      <c r="E259" s="13" t="s">
        <v>55</v>
      </c>
      <c r="F259" s="14" t="n">
        <v>1296</v>
      </c>
      <c r="G259" s="15" t="n">
        <v>14.11</v>
      </c>
    </row>
    <row r="260" customFormat="false" ht="15" hidden="false" customHeight="false" outlineLevel="0" collapsed="false">
      <c r="A260" s="13" t="s">
        <v>213</v>
      </c>
      <c r="B260" s="13" t="n">
        <v>7</v>
      </c>
      <c r="C260" s="13" t="s">
        <v>63</v>
      </c>
      <c r="D260" s="13" t="s">
        <v>15</v>
      </c>
      <c r="E260" s="13" t="s">
        <v>55</v>
      </c>
      <c r="F260" s="14" t="n">
        <v>1453</v>
      </c>
      <c r="G260" s="15" t="n">
        <v>15.82</v>
      </c>
    </row>
    <row r="261" customFormat="false" ht="15" hidden="false" customHeight="false" outlineLevel="0" collapsed="false">
      <c r="A261" s="13" t="s">
        <v>214</v>
      </c>
      <c r="B261" s="13" t="n">
        <v>8</v>
      </c>
      <c r="C261" s="13" t="s">
        <v>63</v>
      </c>
      <c r="D261" s="13" t="s">
        <v>15</v>
      </c>
      <c r="E261" s="13" t="s">
        <v>55</v>
      </c>
      <c r="F261" s="14" t="n">
        <v>1125</v>
      </c>
      <c r="G261" s="15" t="n">
        <v>12.25</v>
      </c>
    </row>
    <row r="262" customFormat="false" ht="15" hidden="false" customHeight="false" outlineLevel="0" collapsed="false">
      <c r="A262" s="13" t="s">
        <v>215</v>
      </c>
      <c r="B262" s="13" t="n">
        <v>9</v>
      </c>
      <c r="C262" s="13" t="s">
        <v>63</v>
      </c>
      <c r="D262" s="13" t="s">
        <v>15</v>
      </c>
      <c r="E262" s="13" t="s">
        <v>55</v>
      </c>
      <c r="F262" s="14" t="n">
        <v>1190</v>
      </c>
      <c r="G262" s="15" t="n">
        <v>12.96</v>
      </c>
    </row>
    <row r="263" customFormat="false" ht="15" hidden="false" customHeight="false" outlineLevel="0" collapsed="false">
      <c r="A263" s="13" t="s">
        <v>216</v>
      </c>
      <c r="B263" s="13" t="n">
        <v>10</v>
      </c>
      <c r="C263" s="13" t="s">
        <v>63</v>
      </c>
      <c r="D263" s="13" t="s">
        <v>15</v>
      </c>
      <c r="E263" s="13" t="s">
        <v>55</v>
      </c>
      <c r="F263" s="14" t="n">
        <v>1081</v>
      </c>
      <c r="G263" s="15" t="n">
        <v>11.77</v>
      </c>
    </row>
    <row r="264" customFormat="false" ht="15" hidden="false" customHeight="false" outlineLevel="0" collapsed="false">
      <c r="A264" s="13" t="s">
        <v>217</v>
      </c>
      <c r="B264" s="13" t="n">
        <v>11</v>
      </c>
      <c r="C264" s="13" t="s">
        <v>63</v>
      </c>
      <c r="D264" s="13" t="s">
        <v>15</v>
      </c>
      <c r="E264" s="13" t="s">
        <v>55</v>
      </c>
      <c r="F264" s="14" t="n">
        <v>1141</v>
      </c>
      <c r="G264" s="15" t="n">
        <v>12.43</v>
      </c>
    </row>
    <row r="265" customFormat="false" ht="15" hidden="false" customHeight="false" outlineLevel="0" collapsed="false">
      <c r="A265" s="13" t="s">
        <v>218</v>
      </c>
      <c r="B265" s="13" t="n">
        <v>12</v>
      </c>
      <c r="C265" s="13" t="s">
        <v>63</v>
      </c>
      <c r="D265" s="13" t="s">
        <v>15</v>
      </c>
      <c r="E265" s="13" t="s">
        <v>55</v>
      </c>
      <c r="F265" s="14" t="n">
        <v>1207</v>
      </c>
      <c r="G265" s="15" t="n">
        <v>13.14</v>
      </c>
    </row>
    <row r="266" customFormat="false" ht="15" hidden="false" customHeight="false" outlineLevel="0" collapsed="false">
      <c r="A266" s="13" t="s">
        <v>219</v>
      </c>
      <c r="B266" s="13" t="n">
        <v>13</v>
      </c>
      <c r="C266" s="13" t="s">
        <v>63</v>
      </c>
      <c r="D266" s="13" t="s">
        <v>15</v>
      </c>
      <c r="E266" s="13" t="s">
        <v>55</v>
      </c>
      <c r="F266" s="14" t="n">
        <v>1495</v>
      </c>
      <c r="G266" s="15" t="n">
        <v>16.28</v>
      </c>
    </row>
    <row r="267" customFormat="false" ht="15" hidden="false" customHeight="false" outlineLevel="0" collapsed="false">
      <c r="A267" s="13" t="s">
        <v>220</v>
      </c>
      <c r="B267" s="13" t="n">
        <v>14</v>
      </c>
      <c r="C267" s="13" t="s">
        <v>63</v>
      </c>
      <c r="D267" s="13" t="s">
        <v>15</v>
      </c>
      <c r="E267" s="13" t="s">
        <v>55</v>
      </c>
      <c r="F267" s="14" t="n">
        <v>1500</v>
      </c>
      <c r="G267" s="15" t="n">
        <v>16.34</v>
      </c>
    </row>
    <row r="268" customFormat="false" ht="15" hidden="false" customHeight="false" outlineLevel="0" collapsed="false">
      <c r="A268" s="13" t="s">
        <v>9</v>
      </c>
      <c r="B268" s="13" t="n">
        <v>1</v>
      </c>
      <c r="C268" s="13" t="s">
        <v>54</v>
      </c>
      <c r="D268" s="13" t="s">
        <v>15</v>
      </c>
      <c r="E268" s="13" t="s">
        <v>55</v>
      </c>
      <c r="F268" s="14" t="n">
        <v>2183</v>
      </c>
      <c r="G268" s="15" t="n">
        <v>23.99</v>
      </c>
    </row>
    <row r="269" customFormat="false" ht="15" hidden="false" customHeight="false" outlineLevel="0" collapsed="false">
      <c r="A269" s="13" t="s">
        <v>208</v>
      </c>
      <c r="B269" s="13" t="n">
        <v>2</v>
      </c>
      <c r="C269" s="13" t="s">
        <v>54</v>
      </c>
      <c r="D269" s="13" t="s">
        <v>15</v>
      </c>
      <c r="E269" s="13" t="s">
        <v>55</v>
      </c>
      <c r="F269" s="14" t="n">
        <v>2492</v>
      </c>
      <c r="G269" s="15" t="n">
        <v>27.39</v>
      </c>
    </row>
    <row r="270" customFormat="false" ht="15" hidden="false" customHeight="false" outlineLevel="0" collapsed="false">
      <c r="A270" s="13" t="s">
        <v>209</v>
      </c>
      <c r="B270" s="13" t="n">
        <v>3</v>
      </c>
      <c r="C270" s="13" t="s">
        <v>54</v>
      </c>
      <c r="D270" s="13" t="s">
        <v>15</v>
      </c>
      <c r="E270" s="13" t="s">
        <v>55</v>
      </c>
      <c r="F270" s="14" t="n">
        <v>2257</v>
      </c>
      <c r="G270" s="15" t="n">
        <v>24.8</v>
      </c>
    </row>
    <row r="271" customFormat="false" ht="15" hidden="false" customHeight="false" outlineLevel="0" collapsed="false">
      <c r="A271" s="13" t="s">
        <v>210</v>
      </c>
      <c r="B271" s="13" t="n">
        <v>4</v>
      </c>
      <c r="C271" s="13" t="s">
        <v>54</v>
      </c>
      <c r="D271" s="13" t="s">
        <v>15</v>
      </c>
      <c r="E271" s="13" t="s">
        <v>55</v>
      </c>
      <c r="F271" s="14" t="n">
        <v>2460</v>
      </c>
      <c r="G271" s="15" t="n">
        <v>27.04</v>
      </c>
    </row>
    <row r="272" customFormat="false" ht="15" hidden="false" customHeight="false" outlineLevel="0" collapsed="false">
      <c r="A272" s="13" t="s">
        <v>211</v>
      </c>
      <c r="B272" s="13" t="n">
        <v>5</v>
      </c>
      <c r="C272" s="13" t="s">
        <v>54</v>
      </c>
      <c r="D272" s="13" t="s">
        <v>15</v>
      </c>
      <c r="E272" s="13" t="s">
        <v>55</v>
      </c>
      <c r="F272" s="14" t="n">
        <v>2369</v>
      </c>
      <c r="G272" s="15" t="n">
        <v>26.04</v>
      </c>
    </row>
    <row r="273" customFormat="false" ht="15" hidden="false" customHeight="false" outlineLevel="0" collapsed="false">
      <c r="A273" s="13" t="s">
        <v>212</v>
      </c>
      <c r="B273" s="13" t="n">
        <v>6</v>
      </c>
      <c r="C273" s="13" t="s">
        <v>54</v>
      </c>
      <c r="D273" s="13" t="s">
        <v>15</v>
      </c>
      <c r="E273" s="13" t="s">
        <v>55</v>
      </c>
      <c r="F273" s="14" t="n">
        <v>2661</v>
      </c>
      <c r="G273" s="15" t="n">
        <v>29.24</v>
      </c>
    </row>
    <row r="274" customFormat="false" ht="15" hidden="false" customHeight="false" outlineLevel="0" collapsed="false">
      <c r="A274" s="13" t="s">
        <v>213</v>
      </c>
      <c r="B274" s="13" t="n">
        <v>7</v>
      </c>
      <c r="C274" s="13" t="s">
        <v>54</v>
      </c>
      <c r="D274" s="13" t="s">
        <v>15</v>
      </c>
      <c r="E274" s="13" t="s">
        <v>55</v>
      </c>
      <c r="F274" s="14" t="n">
        <v>2845</v>
      </c>
      <c r="G274" s="15" t="n">
        <v>31.27</v>
      </c>
    </row>
    <row r="275" customFormat="false" ht="15" hidden="false" customHeight="false" outlineLevel="0" collapsed="false">
      <c r="A275" s="13" t="s">
        <v>214</v>
      </c>
      <c r="B275" s="13" t="n">
        <v>8</v>
      </c>
      <c r="C275" s="13" t="s">
        <v>54</v>
      </c>
      <c r="D275" s="13" t="s">
        <v>15</v>
      </c>
      <c r="E275" s="13" t="s">
        <v>55</v>
      </c>
      <c r="F275" s="14" t="n">
        <v>2422</v>
      </c>
      <c r="G275" s="15" t="n">
        <v>26.62</v>
      </c>
    </row>
    <row r="276" customFormat="false" ht="15" hidden="false" customHeight="false" outlineLevel="0" collapsed="false">
      <c r="A276" s="13" t="s">
        <v>215</v>
      </c>
      <c r="B276" s="13" t="n">
        <v>9</v>
      </c>
      <c r="C276" s="13" t="s">
        <v>54</v>
      </c>
      <c r="D276" s="13" t="s">
        <v>15</v>
      </c>
      <c r="E276" s="13" t="s">
        <v>55</v>
      </c>
      <c r="F276" s="14" t="n">
        <v>2458</v>
      </c>
      <c r="G276" s="15" t="n">
        <v>27.01</v>
      </c>
    </row>
    <row r="277" customFormat="false" ht="15" hidden="false" customHeight="false" outlineLevel="0" collapsed="false">
      <c r="A277" s="13" t="s">
        <v>216</v>
      </c>
      <c r="B277" s="13" t="n">
        <v>10</v>
      </c>
      <c r="C277" s="13" t="s">
        <v>54</v>
      </c>
      <c r="D277" s="13" t="s">
        <v>15</v>
      </c>
      <c r="E277" s="13" t="s">
        <v>55</v>
      </c>
      <c r="F277" s="14" t="n">
        <v>2350</v>
      </c>
      <c r="G277" s="15" t="n">
        <v>25.83</v>
      </c>
    </row>
    <row r="278" customFormat="false" ht="15" hidden="false" customHeight="false" outlineLevel="0" collapsed="false">
      <c r="A278" s="13" t="s">
        <v>217</v>
      </c>
      <c r="B278" s="13" t="n">
        <v>11</v>
      </c>
      <c r="C278" s="13" t="s">
        <v>54</v>
      </c>
      <c r="D278" s="13" t="s">
        <v>15</v>
      </c>
      <c r="E278" s="13" t="s">
        <v>55</v>
      </c>
      <c r="F278" s="14" t="n">
        <v>2588</v>
      </c>
      <c r="G278" s="15" t="n">
        <v>28.44</v>
      </c>
    </row>
    <row r="279" customFormat="false" ht="15" hidden="false" customHeight="false" outlineLevel="0" collapsed="false">
      <c r="A279" s="13" t="s">
        <v>218</v>
      </c>
      <c r="B279" s="13" t="n">
        <v>12</v>
      </c>
      <c r="C279" s="13" t="s">
        <v>54</v>
      </c>
      <c r="D279" s="13" t="s">
        <v>15</v>
      </c>
      <c r="E279" s="13" t="s">
        <v>55</v>
      </c>
      <c r="F279" s="14" t="n">
        <v>2514</v>
      </c>
      <c r="G279" s="15" t="n">
        <v>27.63</v>
      </c>
    </row>
    <row r="280" customFormat="false" ht="15" hidden="false" customHeight="false" outlineLevel="0" collapsed="false">
      <c r="A280" s="13" t="s">
        <v>219</v>
      </c>
      <c r="B280" s="13" t="n">
        <v>13</v>
      </c>
      <c r="C280" s="13" t="s">
        <v>54</v>
      </c>
      <c r="D280" s="13" t="s">
        <v>15</v>
      </c>
      <c r="E280" s="13" t="s">
        <v>55</v>
      </c>
      <c r="F280" s="14" t="n">
        <v>2855</v>
      </c>
      <c r="G280" s="15" t="n">
        <v>31.38</v>
      </c>
    </row>
    <row r="281" customFormat="false" ht="15" hidden="false" customHeight="false" outlineLevel="0" collapsed="false">
      <c r="A281" s="13" t="s">
        <v>220</v>
      </c>
      <c r="B281" s="13" t="n">
        <v>14</v>
      </c>
      <c r="C281" s="13" t="s">
        <v>54</v>
      </c>
      <c r="D281" s="13" t="s">
        <v>15</v>
      </c>
      <c r="E281" s="13" t="s">
        <v>55</v>
      </c>
      <c r="F281" s="14" t="n">
        <v>3031</v>
      </c>
      <c r="G281" s="15" t="n">
        <v>33.31</v>
      </c>
    </row>
    <row r="282" customFormat="false" ht="15" hidden="false" customHeight="false" outlineLevel="0" collapsed="false">
      <c r="A282" s="13" t="s">
        <v>9</v>
      </c>
      <c r="B282" s="13" t="n">
        <v>1</v>
      </c>
      <c r="C282" s="13" t="s">
        <v>95</v>
      </c>
      <c r="D282" s="13" t="s">
        <v>15</v>
      </c>
      <c r="E282" s="13" t="s">
        <v>92</v>
      </c>
      <c r="F282" s="14" t="n">
        <v>2891</v>
      </c>
      <c r="G282" s="15" t="n">
        <v>38.97</v>
      </c>
    </row>
    <row r="283" customFormat="false" ht="15" hidden="false" customHeight="false" outlineLevel="0" collapsed="false">
      <c r="A283" s="13" t="s">
        <v>208</v>
      </c>
      <c r="B283" s="13" t="n">
        <v>2</v>
      </c>
      <c r="C283" s="13" t="s">
        <v>95</v>
      </c>
      <c r="D283" s="13" t="s">
        <v>15</v>
      </c>
      <c r="E283" s="13" t="s">
        <v>92</v>
      </c>
      <c r="F283" s="14" t="n">
        <v>2895</v>
      </c>
      <c r="G283" s="15" t="n">
        <v>39.02</v>
      </c>
    </row>
    <row r="284" customFormat="false" ht="15" hidden="false" customHeight="false" outlineLevel="0" collapsed="false">
      <c r="A284" s="13" t="s">
        <v>209</v>
      </c>
      <c r="B284" s="13" t="n">
        <v>3</v>
      </c>
      <c r="C284" s="13" t="s">
        <v>95</v>
      </c>
      <c r="D284" s="13" t="s">
        <v>15</v>
      </c>
      <c r="E284" s="13" t="s">
        <v>92</v>
      </c>
      <c r="F284" s="14" t="n">
        <v>2399</v>
      </c>
      <c r="G284" s="15" t="n">
        <v>32.34</v>
      </c>
    </row>
    <row r="285" customFormat="false" ht="15" hidden="false" customHeight="false" outlineLevel="0" collapsed="false">
      <c r="A285" s="13" t="s">
        <v>210</v>
      </c>
      <c r="B285" s="13" t="n">
        <v>4</v>
      </c>
      <c r="C285" s="13" t="s">
        <v>95</v>
      </c>
      <c r="D285" s="13" t="s">
        <v>15</v>
      </c>
      <c r="E285" s="13" t="s">
        <v>92</v>
      </c>
      <c r="F285" s="14" t="n">
        <v>2446</v>
      </c>
      <c r="G285" s="15" t="n">
        <v>32.97</v>
      </c>
    </row>
    <row r="286" customFormat="false" ht="15" hidden="false" customHeight="false" outlineLevel="0" collapsed="false">
      <c r="A286" s="13" t="s">
        <v>211</v>
      </c>
      <c r="B286" s="13" t="n">
        <v>5</v>
      </c>
      <c r="C286" s="13" t="s">
        <v>95</v>
      </c>
      <c r="D286" s="13" t="s">
        <v>15</v>
      </c>
      <c r="E286" s="13" t="s">
        <v>92</v>
      </c>
      <c r="F286" s="14" t="n">
        <v>2821</v>
      </c>
      <c r="G286" s="15" t="n">
        <v>38.03</v>
      </c>
    </row>
    <row r="287" customFormat="false" ht="15" hidden="false" customHeight="false" outlineLevel="0" collapsed="false">
      <c r="A287" s="13" t="s">
        <v>212</v>
      </c>
      <c r="B287" s="13" t="n">
        <v>6</v>
      </c>
      <c r="C287" s="13" t="s">
        <v>95</v>
      </c>
      <c r="D287" s="13" t="s">
        <v>15</v>
      </c>
      <c r="E287" s="13" t="s">
        <v>92</v>
      </c>
      <c r="F287" s="14" t="n">
        <v>2968</v>
      </c>
      <c r="G287" s="15" t="n">
        <v>40.01</v>
      </c>
    </row>
    <row r="288" customFormat="false" ht="15" hidden="false" customHeight="false" outlineLevel="0" collapsed="false">
      <c r="A288" s="13" t="s">
        <v>213</v>
      </c>
      <c r="B288" s="13" t="n">
        <v>7</v>
      </c>
      <c r="C288" s="13" t="s">
        <v>95</v>
      </c>
      <c r="D288" s="13" t="s">
        <v>15</v>
      </c>
      <c r="E288" s="13" t="s">
        <v>92</v>
      </c>
      <c r="F288" s="14" t="n">
        <v>2917</v>
      </c>
      <c r="G288" s="15" t="n">
        <v>39.32</v>
      </c>
    </row>
    <row r="289" customFormat="false" ht="15" hidden="false" customHeight="false" outlineLevel="0" collapsed="false">
      <c r="A289" s="13" t="s">
        <v>214</v>
      </c>
      <c r="B289" s="13" t="n">
        <v>8</v>
      </c>
      <c r="C289" s="13" t="s">
        <v>95</v>
      </c>
      <c r="D289" s="13" t="s">
        <v>15</v>
      </c>
      <c r="E289" s="13" t="s">
        <v>92</v>
      </c>
      <c r="F289" s="14" t="n">
        <v>2515</v>
      </c>
      <c r="G289" s="15" t="n">
        <v>33.9</v>
      </c>
    </row>
    <row r="290" customFormat="false" ht="15" hidden="false" customHeight="false" outlineLevel="0" collapsed="false">
      <c r="A290" s="13" t="s">
        <v>215</v>
      </c>
      <c r="B290" s="13" t="n">
        <v>9</v>
      </c>
      <c r="C290" s="13" t="s">
        <v>95</v>
      </c>
      <c r="D290" s="13" t="s">
        <v>15</v>
      </c>
      <c r="E290" s="13" t="s">
        <v>92</v>
      </c>
      <c r="F290" s="14" t="n">
        <v>2655</v>
      </c>
      <c r="G290" s="15" t="n">
        <v>35.79</v>
      </c>
    </row>
    <row r="291" customFormat="false" ht="15" hidden="false" customHeight="false" outlineLevel="0" collapsed="false">
      <c r="A291" s="13" t="s">
        <v>216</v>
      </c>
      <c r="B291" s="13" t="n">
        <v>10</v>
      </c>
      <c r="C291" s="13" t="s">
        <v>95</v>
      </c>
      <c r="D291" s="13" t="s">
        <v>15</v>
      </c>
      <c r="E291" s="13" t="s">
        <v>92</v>
      </c>
      <c r="F291" s="14" t="n">
        <v>2574</v>
      </c>
      <c r="G291" s="15" t="n">
        <v>34.7</v>
      </c>
    </row>
    <row r="292" customFormat="false" ht="15" hidden="false" customHeight="false" outlineLevel="0" collapsed="false">
      <c r="A292" s="13" t="s">
        <v>217</v>
      </c>
      <c r="B292" s="13" t="n">
        <v>11</v>
      </c>
      <c r="C292" s="13" t="s">
        <v>95</v>
      </c>
      <c r="D292" s="13" t="s">
        <v>15</v>
      </c>
      <c r="E292" s="13" t="s">
        <v>92</v>
      </c>
      <c r="F292" s="14" t="n">
        <v>2489</v>
      </c>
      <c r="G292" s="15" t="n">
        <v>33.55</v>
      </c>
    </row>
    <row r="293" customFormat="false" ht="15" hidden="false" customHeight="false" outlineLevel="0" collapsed="false">
      <c r="A293" s="13" t="s">
        <v>218</v>
      </c>
      <c r="B293" s="13" t="n">
        <v>12</v>
      </c>
      <c r="C293" s="13" t="s">
        <v>95</v>
      </c>
      <c r="D293" s="13" t="s">
        <v>15</v>
      </c>
      <c r="E293" s="13" t="s">
        <v>92</v>
      </c>
      <c r="F293" s="14" t="n">
        <v>2485</v>
      </c>
      <c r="G293" s="15" t="n">
        <v>33.5</v>
      </c>
    </row>
    <row r="294" customFormat="false" ht="15" hidden="false" customHeight="false" outlineLevel="0" collapsed="false">
      <c r="A294" s="13" t="s">
        <v>219</v>
      </c>
      <c r="B294" s="13" t="n">
        <v>13</v>
      </c>
      <c r="C294" s="13" t="s">
        <v>95</v>
      </c>
      <c r="D294" s="13" t="s">
        <v>15</v>
      </c>
      <c r="E294" s="13" t="s">
        <v>92</v>
      </c>
      <c r="F294" s="14" t="n">
        <v>3033</v>
      </c>
      <c r="G294" s="15" t="n">
        <v>40.88</v>
      </c>
    </row>
    <row r="295" customFormat="false" ht="15" hidden="false" customHeight="false" outlineLevel="0" collapsed="false">
      <c r="A295" s="13" t="s">
        <v>220</v>
      </c>
      <c r="B295" s="13" t="n">
        <v>14</v>
      </c>
      <c r="C295" s="13" t="s">
        <v>95</v>
      </c>
      <c r="D295" s="13" t="s">
        <v>15</v>
      </c>
      <c r="E295" s="13" t="s">
        <v>92</v>
      </c>
      <c r="F295" s="14" t="n">
        <v>3002</v>
      </c>
      <c r="G295" s="15" t="n">
        <v>40.47</v>
      </c>
    </row>
    <row r="296" customFormat="false" ht="15" hidden="false" customHeight="false" outlineLevel="0" collapsed="false">
      <c r="A296" s="13" t="s">
        <v>9</v>
      </c>
      <c r="B296" s="13" t="n">
        <v>1</v>
      </c>
      <c r="C296" s="13" t="s">
        <v>131</v>
      </c>
      <c r="D296" s="13" t="s">
        <v>16</v>
      </c>
      <c r="E296" s="13" t="s">
        <v>83</v>
      </c>
      <c r="F296" s="14" t="n">
        <v>2030</v>
      </c>
      <c r="G296" s="15" t="n">
        <v>16.26</v>
      </c>
    </row>
    <row r="297" customFormat="false" ht="15" hidden="false" customHeight="false" outlineLevel="0" collapsed="false">
      <c r="A297" s="13" t="s">
        <v>208</v>
      </c>
      <c r="B297" s="13" t="n">
        <v>2</v>
      </c>
      <c r="C297" s="13" t="s">
        <v>131</v>
      </c>
      <c r="D297" s="13" t="s">
        <v>16</v>
      </c>
      <c r="E297" s="13" t="s">
        <v>83</v>
      </c>
      <c r="F297" s="14" t="n">
        <v>1817</v>
      </c>
      <c r="G297" s="15" t="n">
        <v>14.55</v>
      </c>
    </row>
    <row r="298" customFormat="false" ht="15" hidden="false" customHeight="false" outlineLevel="0" collapsed="false">
      <c r="A298" s="13" t="s">
        <v>209</v>
      </c>
      <c r="B298" s="13" t="n">
        <v>3</v>
      </c>
      <c r="C298" s="13" t="s">
        <v>131</v>
      </c>
      <c r="D298" s="13" t="s">
        <v>16</v>
      </c>
      <c r="E298" s="13" t="s">
        <v>83</v>
      </c>
      <c r="F298" s="14" t="n">
        <v>1880</v>
      </c>
      <c r="G298" s="15" t="n">
        <v>15.06</v>
      </c>
    </row>
    <row r="299" customFormat="false" ht="15" hidden="false" customHeight="false" outlineLevel="0" collapsed="false">
      <c r="A299" s="13" t="s">
        <v>210</v>
      </c>
      <c r="B299" s="13" t="n">
        <v>4</v>
      </c>
      <c r="C299" s="13" t="s">
        <v>131</v>
      </c>
      <c r="D299" s="13" t="s">
        <v>16</v>
      </c>
      <c r="E299" s="13" t="s">
        <v>83</v>
      </c>
      <c r="F299" s="14" t="n">
        <v>1733</v>
      </c>
      <c r="G299" s="15" t="n">
        <v>13.88</v>
      </c>
    </row>
    <row r="300" customFormat="false" ht="15" hidden="false" customHeight="false" outlineLevel="0" collapsed="false">
      <c r="A300" s="13" t="s">
        <v>211</v>
      </c>
      <c r="B300" s="13" t="n">
        <v>5</v>
      </c>
      <c r="C300" s="13" t="s">
        <v>131</v>
      </c>
      <c r="D300" s="13" t="s">
        <v>16</v>
      </c>
      <c r="E300" s="13" t="s">
        <v>83</v>
      </c>
      <c r="F300" s="14" t="n">
        <v>1766</v>
      </c>
      <c r="G300" s="15" t="n">
        <v>14.15</v>
      </c>
    </row>
    <row r="301" customFormat="false" ht="15" hidden="false" customHeight="false" outlineLevel="0" collapsed="false">
      <c r="A301" s="13" t="s">
        <v>212</v>
      </c>
      <c r="B301" s="13" t="n">
        <v>6</v>
      </c>
      <c r="C301" s="13" t="s">
        <v>131</v>
      </c>
      <c r="D301" s="13" t="s">
        <v>16</v>
      </c>
      <c r="E301" s="13" t="s">
        <v>83</v>
      </c>
      <c r="F301" s="14" t="n">
        <v>2091</v>
      </c>
      <c r="G301" s="15" t="n">
        <v>16.75</v>
      </c>
    </row>
    <row r="302" customFormat="false" ht="15" hidden="false" customHeight="false" outlineLevel="0" collapsed="false">
      <c r="A302" s="13" t="s">
        <v>213</v>
      </c>
      <c r="B302" s="13" t="n">
        <v>7</v>
      </c>
      <c r="C302" s="13" t="s">
        <v>131</v>
      </c>
      <c r="D302" s="13" t="s">
        <v>16</v>
      </c>
      <c r="E302" s="13" t="s">
        <v>83</v>
      </c>
      <c r="F302" s="14" t="n">
        <v>1837</v>
      </c>
      <c r="G302" s="15" t="n">
        <v>14.71</v>
      </c>
    </row>
    <row r="303" customFormat="false" ht="15" hidden="false" customHeight="false" outlineLevel="0" collapsed="false">
      <c r="A303" s="13" t="s">
        <v>214</v>
      </c>
      <c r="B303" s="13" t="n">
        <v>8</v>
      </c>
      <c r="C303" s="13" t="s">
        <v>131</v>
      </c>
      <c r="D303" s="13" t="s">
        <v>16</v>
      </c>
      <c r="E303" s="13" t="s">
        <v>83</v>
      </c>
      <c r="F303" s="14" t="n">
        <v>1638</v>
      </c>
      <c r="G303" s="15" t="n">
        <v>13.12</v>
      </c>
    </row>
    <row r="304" customFormat="false" ht="15" hidden="false" customHeight="false" outlineLevel="0" collapsed="false">
      <c r="A304" s="13" t="s">
        <v>215</v>
      </c>
      <c r="B304" s="13" t="n">
        <v>9</v>
      </c>
      <c r="C304" s="13" t="s">
        <v>131</v>
      </c>
      <c r="D304" s="13" t="s">
        <v>16</v>
      </c>
      <c r="E304" s="13" t="s">
        <v>83</v>
      </c>
      <c r="F304" s="14" t="n">
        <v>1591</v>
      </c>
      <c r="G304" s="15" t="n">
        <v>12.74</v>
      </c>
    </row>
    <row r="305" customFormat="false" ht="15" hidden="false" customHeight="false" outlineLevel="0" collapsed="false">
      <c r="A305" s="13" t="s">
        <v>216</v>
      </c>
      <c r="B305" s="13" t="n">
        <v>10</v>
      </c>
      <c r="C305" s="13" t="s">
        <v>131</v>
      </c>
      <c r="D305" s="13" t="s">
        <v>16</v>
      </c>
      <c r="E305" s="13" t="s">
        <v>83</v>
      </c>
      <c r="F305" s="14" t="n">
        <v>1544</v>
      </c>
      <c r="G305" s="15" t="n">
        <v>12.37</v>
      </c>
    </row>
    <row r="306" customFormat="false" ht="15" hidden="false" customHeight="false" outlineLevel="0" collapsed="false">
      <c r="A306" s="13" t="s">
        <v>217</v>
      </c>
      <c r="B306" s="13" t="n">
        <v>11</v>
      </c>
      <c r="C306" s="13" t="s">
        <v>131</v>
      </c>
      <c r="D306" s="13" t="s">
        <v>16</v>
      </c>
      <c r="E306" s="13" t="s">
        <v>83</v>
      </c>
      <c r="F306" s="14" t="n">
        <v>1657</v>
      </c>
      <c r="G306" s="15" t="n">
        <v>13.27</v>
      </c>
    </row>
    <row r="307" customFormat="false" ht="15" hidden="false" customHeight="false" outlineLevel="0" collapsed="false">
      <c r="A307" s="13" t="s">
        <v>218</v>
      </c>
      <c r="B307" s="13" t="n">
        <v>12</v>
      </c>
      <c r="C307" s="13" t="s">
        <v>131</v>
      </c>
      <c r="D307" s="13" t="s">
        <v>16</v>
      </c>
      <c r="E307" s="13" t="s">
        <v>83</v>
      </c>
      <c r="F307" s="14" t="n">
        <v>1927</v>
      </c>
      <c r="G307" s="15" t="n">
        <v>15.44</v>
      </c>
    </row>
    <row r="308" customFormat="false" ht="15" hidden="false" customHeight="false" outlineLevel="0" collapsed="false">
      <c r="A308" s="13" t="s">
        <v>219</v>
      </c>
      <c r="B308" s="13" t="n">
        <v>13</v>
      </c>
      <c r="C308" s="13" t="s">
        <v>131</v>
      </c>
      <c r="D308" s="13" t="s">
        <v>16</v>
      </c>
      <c r="E308" s="13" t="s">
        <v>83</v>
      </c>
      <c r="F308" s="14" t="n">
        <v>2178</v>
      </c>
      <c r="G308" s="15" t="n">
        <v>17.45</v>
      </c>
    </row>
    <row r="309" customFormat="false" ht="15" hidden="false" customHeight="false" outlineLevel="0" collapsed="false">
      <c r="A309" s="13" t="s">
        <v>220</v>
      </c>
      <c r="B309" s="13" t="n">
        <v>14</v>
      </c>
      <c r="C309" s="13" t="s">
        <v>131</v>
      </c>
      <c r="D309" s="13" t="s">
        <v>16</v>
      </c>
      <c r="E309" s="13" t="s">
        <v>83</v>
      </c>
      <c r="F309" s="14" t="n">
        <v>2353</v>
      </c>
      <c r="G309" s="15" t="n">
        <v>18.85</v>
      </c>
    </row>
    <row r="310" customFormat="false" ht="15" hidden="false" customHeight="false" outlineLevel="0" collapsed="false">
      <c r="A310" s="13" t="s">
        <v>9</v>
      </c>
      <c r="B310" s="13" t="n">
        <v>1</v>
      </c>
      <c r="C310" s="13" t="s">
        <v>118</v>
      </c>
      <c r="D310" s="13" t="s">
        <v>16</v>
      </c>
      <c r="E310" s="13" t="s">
        <v>65</v>
      </c>
      <c r="F310" s="14" t="n">
        <v>5721</v>
      </c>
      <c r="G310" s="15" t="n">
        <v>64.7</v>
      </c>
    </row>
    <row r="311" customFormat="false" ht="15" hidden="false" customHeight="false" outlineLevel="0" collapsed="false">
      <c r="A311" s="13" t="s">
        <v>208</v>
      </c>
      <c r="B311" s="13" t="n">
        <v>2</v>
      </c>
      <c r="C311" s="13" t="s">
        <v>118</v>
      </c>
      <c r="D311" s="13" t="s">
        <v>16</v>
      </c>
      <c r="E311" s="13" t="s">
        <v>65</v>
      </c>
      <c r="F311" s="14" t="n">
        <v>5846</v>
      </c>
      <c r="G311" s="15" t="n">
        <v>66.12</v>
      </c>
    </row>
    <row r="312" customFormat="false" ht="15" hidden="false" customHeight="false" outlineLevel="0" collapsed="false">
      <c r="A312" s="13" t="s">
        <v>209</v>
      </c>
      <c r="B312" s="13" t="n">
        <v>3</v>
      </c>
      <c r="C312" s="13" t="s">
        <v>118</v>
      </c>
      <c r="D312" s="13" t="s">
        <v>16</v>
      </c>
      <c r="E312" s="13" t="s">
        <v>65</v>
      </c>
      <c r="F312" s="14" t="n">
        <v>5282</v>
      </c>
      <c r="G312" s="15" t="n">
        <v>59.74</v>
      </c>
    </row>
    <row r="313" customFormat="false" ht="15" hidden="false" customHeight="false" outlineLevel="0" collapsed="false">
      <c r="A313" s="13" t="s">
        <v>210</v>
      </c>
      <c r="B313" s="13" t="n">
        <v>4</v>
      </c>
      <c r="C313" s="13" t="s">
        <v>118</v>
      </c>
      <c r="D313" s="13" t="s">
        <v>16</v>
      </c>
      <c r="E313" s="13" t="s">
        <v>65</v>
      </c>
      <c r="F313" s="14" t="n">
        <v>5759</v>
      </c>
      <c r="G313" s="15" t="n">
        <v>65.13</v>
      </c>
    </row>
    <row r="314" customFormat="false" ht="15" hidden="false" customHeight="false" outlineLevel="0" collapsed="false">
      <c r="A314" s="13" t="s">
        <v>211</v>
      </c>
      <c r="B314" s="13" t="n">
        <v>5</v>
      </c>
      <c r="C314" s="13" t="s">
        <v>118</v>
      </c>
      <c r="D314" s="13" t="s">
        <v>16</v>
      </c>
      <c r="E314" s="13" t="s">
        <v>65</v>
      </c>
      <c r="F314" s="14" t="n">
        <v>5827</v>
      </c>
      <c r="G314" s="15" t="n">
        <v>65.9</v>
      </c>
    </row>
    <row r="315" customFormat="false" ht="15" hidden="false" customHeight="false" outlineLevel="0" collapsed="false">
      <c r="A315" s="13" t="s">
        <v>212</v>
      </c>
      <c r="B315" s="13" t="n">
        <v>6</v>
      </c>
      <c r="C315" s="13" t="s">
        <v>118</v>
      </c>
      <c r="D315" s="13" t="s">
        <v>16</v>
      </c>
      <c r="E315" s="13" t="s">
        <v>65</v>
      </c>
      <c r="F315" s="14" t="n">
        <v>6594</v>
      </c>
      <c r="G315" s="15" t="n">
        <v>74.58</v>
      </c>
    </row>
    <row r="316" customFormat="false" ht="15" hidden="false" customHeight="false" outlineLevel="0" collapsed="false">
      <c r="A316" s="13" t="s">
        <v>213</v>
      </c>
      <c r="B316" s="13" t="n">
        <v>7</v>
      </c>
      <c r="C316" s="13" t="s">
        <v>118</v>
      </c>
      <c r="D316" s="13" t="s">
        <v>16</v>
      </c>
      <c r="E316" s="13" t="s">
        <v>65</v>
      </c>
      <c r="F316" s="14" t="n">
        <v>7060</v>
      </c>
      <c r="G316" s="15" t="n">
        <v>79.85</v>
      </c>
    </row>
    <row r="317" customFormat="false" ht="15" hidden="false" customHeight="false" outlineLevel="0" collapsed="false">
      <c r="A317" s="13" t="s">
        <v>214</v>
      </c>
      <c r="B317" s="13" t="n">
        <v>8</v>
      </c>
      <c r="C317" s="13" t="s">
        <v>118</v>
      </c>
      <c r="D317" s="13" t="s">
        <v>16</v>
      </c>
      <c r="E317" s="13" t="s">
        <v>65</v>
      </c>
      <c r="F317" s="14" t="n">
        <v>5773</v>
      </c>
      <c r="G317" s="15" t="n">
        <v>65.29</v>
      </c>
    </row>
    <row r="318" customFormat="false" ht="15" hidden="false" customHeight="false" outlineLevel="0" collapsed="false">
      <c r="A318" s="13" t="s">
        <v>215</v>
      </c>
      <c r="B318" s="13" t="n">
        <v>9</v>
      </c>
      <c r="C318" s="13" t="s">
        <v>118</v>
      </c>
      <c r="D318" s="13" t="s">
        <v>16</v>
      </c>
      <c r="E318" s="13" t="s">
        <v>65</v>
      </c>
      <c r="F318" s="14" t="n">
        <v>5399</v>
      </c>
      <c r="G318" s="15" t="n">
        <v>61.06</v>
      </c>
    </row>
    <row r="319" customFormat="false" ht="15" hidden="false" customHeight="false" outlineLevel="0" collapsed="false">
      <c r="A319" s="13" t="s">
        <v>216</v>
      </c>
      <c r="B319" s="13" t="n">
        <v>10</v>
      </c>
      <c r="C319" s="13" t="s">
        <v>118</v>
      </c>
      <c r="D319" s="13" t="s">
        <v>16</v>
      </c>
      <c r="E319" s="13" t="s">
        <v>65</v>
      </c>
      <c r="F319" s="14" t="n">
        <v>5207</v>
      </c>
      <c r="G319" s="15" t="n">
        <v>58.89</v>
      </c>
    </row>
    <row r="320" customFormat="false" ht="15" hidden="false" customHeight="false" outlineLevel="0" collapsed="false">
      <c r="A320" s="13" t="s">
        <v>217</v>
      </c>
      <c r="B320" s="13" t="n">
        <v>11</v>
      </c>
      <c r="C320" s="13" t="s">
        <v>118</v>
      </c>
      <c r="D320" s="13" t="s">
        <v>16</v>
      </c>
      <c r="E320" s="13" t="s">
        <v>65</v>
      </c>
      <c r="F320" s="14" t="n">
        <v>5187</v>
      </c>
      <c r="G320" s="15" t="n">
        <v>58.66</v>
      </c>
    </row>
    <row r="321" customFormat="false" ht="15" hidden="false" customHeight="false" outlineLevel="0" collapsed="false">
      <c r="A321" s="13" t="s">
        <v>218</v>
      </c>
      <c r="B321" s="13" t="n">
        <v>12</v>
      </c>
      <c r="C321" s="13" t="s">
        <v>118</v>
      </c>
      <c r="D321" s="13" t="s">
        <v>16</v>
      </c>
      <c r="E321" s="13" t="s">
        <v>65</v>
      </c>
      <c r="F321" s="14" t="n">
        <v>5612</v>
      </c>
      <c r="G321" s="15" t="n">
        <v>63.47</v>
      </c>
    </row>
    <row r="322" customFormat="false" ht="15" hidden="false" customHeight="false" outlineLevel="0" collapsed="false">
      <c r="A322" s="13" t="s">
        <v>219</v>
      </c>
      <c r="B322" s="13" t="n">
        <v>13</v>
      </c>
      <c r="C322" s="13" t="s">
        <v>118</v>
      </c>
      <c r="D322" s="13" t="s">
        <v>16</v>
      </c>
      <c r="E322" s="13" t="s">
        <v>65</v>
      </c>
      <c r="F322" s="14" t="n">
        <v>6965</v>
      </c>
      <c r="G322" s="15" t="n">
        <v>78.77</v>
      </c>
    </row>
    <row r="323" customFormat="false" ht="15" hidden="false" customHeight="false" outlineLevel="0" collapsed="false">
      <c r="A323" s="13" t="s">
        <v>220</v>
      </c>
      <c r="B323" s="13" t="n">
        <v>14</v>
      </c>
      <c r="C323" s="13" t="s">
        <v>118</v>
      </c>
      <c r="D323" s="13" t="s">
        <v>16</v>
      </c>
      <c r="E323" s="13" t="s">
        <v>65</v>
      </c>
      <c r="F323" s="14" t="n">
        <v>6506</v>
      </c>
      <c r="G323" s="15" t="n">
        <v>73.58</v>
      </c>
    </row>
    <row r="324" customFormat="false" ht="15" hidden="false" customHeight="false" outlineLevel="0" collapsed="false">
      <c r="A324" s="13" t="s">
        <v>9</v>
      </c>
      <c r="B324" s="13" t="n">
        <v>1</v>
      </c>
      <c r="C324" s="13" t="s">
        <v>139</v>
      </c>
      <c r="D324" s="13" t="s">
        <v>16</v>
      </c>
      <c r="E324" s="13" t="s">
        <v>92</v>
      </c>
      <c r="F324" s="14" t="n">
        <v>8484</v>
      </c>
      <c r="G324" s="15" t="n">
        <v>80.43</v>
      </c>
    </row>
    <row r="325" customFormat="false" ht="15" hidden="false" customHeight="false" outlineLevel="0" collapsed="false">
      <c r="A325" s="13" t="s">
        <v>208</v>
      </c>
      <c r="B325" s="13" t="n">
        <v>2</v>
      </c>
      <c r="C325" s="13" t="s">
        <v>139</v>
      </c>
      <c r="D325" s="13" t="s">
        <v>16</v>
      </c>
      <c r="E325" s="13" t="s">
        <v>92</v>
      </c>
      <c r="F325" s="14" t="n">
        <v>8761</v>
      </c>
      <c r="G325" s="15" t="n">
        <v>83.05</v>
      </c>
    </row>
    <row r="326" customFormat="false" ht="15" hidden="false" customHeight="false" outlineLevel="0" collapsed="false">
      <c r="A326" s="13" t="s">
        <v>209</v>
      </c>
      <c r="B326" s="13" t="n">
        <v>3</v>
      </c>
      <c r="C326" s="13" t="s">
        <v>139</v>
      </c>
      <c r="D326" s="13" t="s">
        <v>16</v>
      </c>
      <c r="E326" s="13" t="s">
        <v>92</v>
      </c>
      <c r="F326" s="14" t="n">
        <v>8785</v>
      </c>
      <c r="G326" s="15" t="n">
        <v>83.28</v>
      </c>
    </row>
    <row r="327" customFormat="false" ht="15" hidden="false" customHeight="false" outlineLevel="0" collapsed="false">
      <c r="A327" s="13" t="s">
        <v>210</v>
      </c>
      <c r="B327" s="13" t="n">
        <v>4</v>
      </c>
      <c r="C327" s="13" t="s">
        <v>139</v>
      </c>
      <c r="D327" s="13" t="s">
        <v>16</v>
      </c>
      <c r="E327" s="13" t="s">
        <v>92</v>
      </c>
      <c r="F327" s="14" t="n">
        <v>9260</v>
      </c>
      <c r="G327" s="15" t="n">
        <v>87.78</v>
      </c>
    </row>
    <row r="328" customFormat="false" ht="15" hidden="false" customHeight="false" outlineLevel="0" collapsed="false">
      <c r="A328" s="13" t="s">
        <v>211</v>
      </c>
      <c r="B328" s="13" t="n">
        <v>5</v>
      </c>
      <c r="C328" s="13" t="s">
        <v>139</v>
      </c>
      <c r="D328" s="13" t="s">
        <v>16</v>
      </c>
      <c r="E328" s="13" t="s">
        <v>92</v>
      </c>
      <c r="F328" s="14" t="n">
        <v>9120</v>
      </c>
      <c r="G328" s="15" t="n">
        <v>86.46</v>
      </c>
    </row>
    <row r="329" customFormat="false" ht="15" hidden="false" customHeight="false" outlineLevel="0" collapsed="false">
      <c r="A329" s="13" t="s">
        <v>212</v>
      </c>
      <c r="B329" s="13" t="n">
        <v>6</v>
      </c>
      <c r="C329" s="13" t="s">
        <v>139</v>
      </c>
      <c r="D329" s="13" t="s">
        <v>16</v>
      </c>
      <c r="E329" s="13" t="s">
        <v>92</v>
      </c>
      <c r="F329" s="14" t="n">
        <v>9741</v>
      </c>
      <c r="G329" s="15" t="n">
        <v>92.34</v>
      </c>
    </row>
    <row r="330" customFormat="false" ht="15" hidden="false" customHeight="false" outlineLevel="0" collapsed="false">
      <c r="A330" s="13" t="s">
        <v>213</v>
      </c>
      <c r="B330" s="13" t="n">
        <v>7</v>
      </c>
      <c r="C330" s="13" t="s">
        <v>139</v>
      </c>
      <c r="D330" s="13" t="s">
        <v>16</v>
      </c>
      <c r="E330" s="13" t="s">
        <v>92</v>
      </c>
      <c r="F330" s="14" t="n">
        <v>11410</v>
      </c>
      <c r="G330" s="15" t="n">
        <v>108.17</v>
      </c>
    </row>
    <row r="331" customFormat="false" ht="15" hidden="false" customHeight="false" outlineLevel="0" collapsed="false">
      <c r="A331" s="13" t="s">
        <v>214</v>
      </c>
      <c r="B331" s="13" t="n">
        <v>8</v>
      </c>
      <c r="C331" s="13" t="s">
        <v>139</v>
      </c>
      <c r="D331" s="13" t="s">
        <v>16</v>
      </c>
      <c r="E331" s="13" t="s">
        <v>92</v>
      </c>
      <c r="F331" s="14" t="n">
        <v>8201</v>
      </c>
      <c r="G331" s="15" t="n">
        <v>77.75</v>
      </c>
    </row>
    <row r="332" customFormat="false" ht="15" hidden="false" customHeight="false" outlineLevel="0" collapsed="false">
      <c r="A332" s="13" t="s">
        <v>215</v>
      </c>
      <c r="B332" s="13" t="n">
        <v>9</v>
      </c>
      <c r="C332" s="13" t="s">
        <v>139</v>
      </c>
      <c r="D332" s="13" t="s">
        <v>16</v>
      </c>
      <c r="E332" s="13" t="s">
        <v>92</v>
      </c>
      <c r="F332" s="14" t="n">
        <v>9002</v>
      </c>
      <c r="G332" s="15" t="n">
        <v>85.34</v>
      </c>
    </row>
    <row r="333" customFormat="false" ht="15" hidden="false" customHeight="false" outlineLevel="0" collapsed="false">
      <c r="A333" s="13" t="s">
        <v>216</v>
      </c>
      <c r="B333" s="13" t="n">
        <v>10</v>
      </c>
      <c r="C333" s="13" t="s">
        <v>139</v>
      </c>
      <c r="D333" s="13" t="s">
        <v>16</v>
      </c>
      <c r="E333" s="13" t="s">
        <v>92</v>
      </c>
      <c r="F333" s="14" t="n">
        <v>8505</v>
      </c>
      <c r="G333" s="15" t="n">
        <v>80.63</v>
      </c>
    </row>
    <row r="334" customFormat="false" ht="15" hidden="false" customHeight="false" outlineLevel="0" collapsed="false">
      <c r="A334" s="13" t="s">
        <v>217</v>
      </c>
      <c r="B334" s="13" t="n">
        <v>11</v>
      </c>
      <c r="C334" s="13" t="s">
        <v>139</v>
      </c>
      <c r="D334" s="13" t="s">
        <v>16</v>
      </c>
      <c r="E334" s="13" t="s">
        <v>92</v>
      </c>
      <c r="F334" s="14" t="n">
        <v>8261</v>
      </c>
      <c r="G334" s="15" t="n">
        <v>78.31</v>
      </c>
    </row>
    <row r="335" customFormat="false" ht="15" hidden="false" customHeight="false" outlineLevel="0" collapsed="false">
      <c r="A335" s="13" t="s">
        <v>218</v>
      </c>
      <c r="B335" s="13" t="n">
        <v>12</v>
      </c>
      <c r="C335" s="13" t="s">
        <v>139</v>
      </c>
      <c r="D335" s="13" t="s">
        <v>16</v>
      </c>
      <c r="E335" s="13" t="s">
        <v>92</v>
      </c>
      <c r="F335" s="14" t="n">
        <v>7552</v>
      </c>
      <c r="G335" s="15" t="n">
        <v>71.59</v>
      </c>
    </row>
    <row r="336" customFormat="false" ht="15" hidden="false" customHeight="false" outlineLevel="0" collapsed="false">
      <c r="A336" s="13" t="s">
        <v>219</v>
      </c>
      <c r="B336" s="13" t="n">
        <v>13</v>
      </c>
      <c r="C336" s="13" t="s">
        <v>139</v>
      </c>
      <c r="D336" s="13" t="s">
        <v>16</v>
      </c>
      <c r="E336" s="13" t="s">
        <v>92</v>
      </c>
      <c r="F336" s="14" t="n">
        <v>10256</v>
      </c>
      <c r="G336" s="15" t="n">
        <v>97.23</v>
      </c>
    </row>
    <row r="337" customFormat="false" ht="15" hidden="false" customHeight="false" outlineLevel="0" collapsed="false">
      <c r="A337" s="13" t="s">
        <v>220</v>
      </c>
      <c r="B337" s="13" t="n">
        <v>14</v>
      </c>
      <c r="C337" s="13" t="s">
        <v>139</v>
      </c>
      <c r="D337" s="13" t="s">
        <v>16</v>
      </c>
      <c r="E337" s="13" t="s">
        <v>92</v>
      </c>
      <c r="F337" s="14" t="n">
        <v>9394</v>
      </c>
      <c r="G337" s="15" t="n">
        <v>89.06</v>
      </c>
    </row>
    <row r="338" customFormat="false" ht="15" hidden="false" customHeight="false" outlineLevel="0" collapsed="false">
      <c r="A338" s="13" t="s">
        <v>9</v>
      </c>
      <c r="B338" s="13" t="n">
        <v>1</v>
      </c>
      <c r="C338" s="13" t="s">
        <v>136</v>
      </c>
      <c r="D338" s="13" t="s">
        <v>16</v>
      </c>
      <c r="E338" s="13" t="s">
        <v>83</v>
      </c>
      <c r="F338" s="14" t="n">
        <v>4193</v>
      </c>
      <c r="G338" s="15" t="n">
        <v>35.31</v>
      </c>
    </row>
    <row r="339" customFormat="false" ht="15" hidden="false" customHeight="false" outlineLevel="0" collapsed="false">
      <c r="A339" s="13" t="s">
        <v>208</v>
      </c>
      <c r="B339" s="13" t="n">
        <v>2</v>
      </c>
      <c r="C339" s="13" t="s">
        <v>136</v>
      </c>
      <c r="D339" s="13" t="s">
        <v>16</v>
      </c>
      <c r="E339" s="13" t="s">
        <v>83</v>
      </c>
      <c r="F339" s="14" t="n">
        <v>4324</v>
      </c>
      <c r="G339" s="15" t="n">
        <v>36.41</v>
      </c>
    </row>
    <row r="340" customFormat="false" ht="15" hidden="false" customHeight="false" outlineLevel="0" collapsed="false">
      <c r="A340" s="13" t="s">
        <v>209</v>
      </c>
      <c r="B340" s="13" t="n">
        <v>3</v>
      </c>
      <c r="C340" s="13" t="s">
        <v>136</v>
      </c>
      <c r="D340" s="13" t="s">
        <v>16</v>
      </c>
      <c r="E340" s="13" t="s">
        <v>83</v>
      </c>
      <c r="F340" s="14" t="n">
        <v>3774</v>
      </c>
      <c r="G340" s="15" t="n">
        <v>31.78</v>
      </c>
    </row>
    <row r="341" customFormat="false" ht="15" hidden="false" customHeight="false" outlineLevel="0" collapsed="false">
      <c r="A341" s="13" t="s">
        <v>210</v>
      </c>
      <c r="B341" s="13" t="n">
        <v>4</v>
      </c>
      <c r="C341" s="13" t="s">
        <v>136</v>
      </c>
      <c r="D341" s="13" t="s">
        <v>16</v>
      </c>
      <c r="E341" s="13" t="s">
        <v>83</v>
      </c>
      <c r="F341" s="14" t="n">
        <v>4035</v>
      </c>
      <c r="G341" s="15" t="n">
        <v>33.97</v>
      </c>
    </row>
    <row r="342" customFormat="false" ht="15" hidden="false" customHeight="false" outlineLevel="0" collapsed="false">
      <c r="A342" s="13" t="s">
        <v>211</v>
      </c>
      <c r="B342" s="13" t="n">
        <v>5</v>
      </c>
      <c r="C342" s="13" t="s">
        <v>136</v>
      </c>
      <c r="D342" s="13" t="s">
        <v>16</v>
      </c>
      <c r="E342" s="13" t="s">
        <v>83</v>
      </c>
      <c r="F342" s="14" t="n">
        <v>3791</v>
      </c>
      <c r="G342" s="15" t="n">
        <v>31.92</v>
      </c>
    </row>
    <row r="343" customFormat="false" ht="15" hidden="false" customHeight="false" outlineLevel="0" collapsed="false">
      <c r="A343" s="13" t="s">
        <v>212</v>
      </c>
      <c r="B343" s="13" t="n">
        <v>6</v>
      </c>
      <c r="C343" s="13" t="s">
        <v>136</v>
      </c>
      <c r="D343" s="13" t="s">
        <v>16</v>
      </c>
      <c r="E343" s="13" t="s">
        <v>83</v>
      </c>
      <c r="F343" s="14" t="n">
        <v>4666</v>
      </c>
      <c r="G343" s="15" t="n">
        <v>39.29</v>
      </c>
    </row>
    <row r="344" customFormat="false" ht="15" hidden="false" customHeight="false" outlineLevel="0" collapsed="false">
      <c r="A344" s="13" t="s">
        <v>213</v>
      </c>
      <c r="B344" s="13" t="n">
        <v>7</v>
      </c>
      <c r="C344" s="13" t="s">
        <v>136</v>
      </c>
      <c r="D344" s="13" t="s">
        <v>16</v>
      </c>
      <c r="E344" s="13" t="s">
        <v>83</v>
      </c>
      <c r="F344" s="14" t="n">
        <v>5074</v>
      </c>
      <c r="G344" s="15" t="n">
        <v>42.72</v>
      </c>
    </row>
    <row r="345" customFormat="false" ht="15" hidden="false" customHeight="false" outlineLevel="0" collapsed="false">
      <c r="A345" s="13" t="s">
        <v>214</v>
      </c>
      <c r="B345" s="13" t="n">
        <v>8</v>
      </c>
      <c r="C345" s="13" t="s">
        <v>136</v>
      </c>
      <c r="D345" s="13" t="s">
        <v>16</v>
      </c>
      <c r="E345" s="13" t="s">
        <v>83</v>
      </c>
      <c r="F345" s="14" t="n">
        <v>3954</v>
      </c>
      <c r="G345" s="15" t="n">
        <v>33.29</v>
      </c>
    </row>
    <row r="346" customFormat="false" ht="15" hidden="false" customHeight="false" outlineLevel="0" collapsed="false">
      <c r="A346" s="13" t="s">
        <v>215</v>
      </c>
      <c r="B346" s="13" t="n">
        <v>9</v>
      </c>
      <c r="C346" s="13" t="s">
        <v>136</v>
      </c>
      <c r="D346" s="13" t="s">
        <v>16</v>
      </c>
      <c r="E346" s="13" t="s">
        <v>83</v>
      </c>
      <c r="F346" s="14" t="n">
        <v>4377</v>
      </c>
      <c r="G346" s="15" t="n">
        <v>36.85</v>
      </c>
    </row>
    <row r="347" customFormat="false" ht="15" hidden="false" customHeight="false" outlineLevel="0" collapsed="false">
      <c r="A347" s="13" t="s">
        <v>216</v>
      </c>
      <c r="B347" s="13" t="n">
        <v>10</v>
      </c>
      <c r="C347" s="13" t="s">
        <v>136</v>
      </c>
      <c r="D347" s="13" t="s">
        <v>16</v>
      </c>
      <c r="E347" s="13" t="s">
        <v>83</v>
      </c>
      <c r="F347" s="14" t="n">
        <v>3849</v>
      </c>
      <c r="G347" s="15" t="n">
        <v>32.41</v>
      </c>
    </row>
    <row r="348" customFormat="false" ht="15" hidden="false" customHeight="false" outlineLevel="0" collapsed="false">
      <c r="A348" s="13" t="s">
        <v>217</v>
      </c>
      <c r="B348" s="13" t="n">
        <v>11</v>
      </c>
      <c r="C348" s="13" t="s">
        <v>136</v>
      </c>
      <c r="D348" s="13" t="s">
        <v>16</v>
      </c>
      <c r="E348" s="13" t="s">
        <v>83</v>
      </c>
      <c r="F348" s="14" t="n">
        <v>4201</v>
      </c>
      <c r="G348" s="15" t="n">
        <v>35.37</v>
      </c>
    </row>
    <row r="349" customFormat="false" ht="15" hidden="false" customHeight="false" outlineLevel="0" collapsed="false">
      <c r="A349" s="13" t="s">
        <v>218</v>
      </c>
      <c r="B349" s="13" t="n">
        <v>12</v>
      </c>
      <c r="C349" s="13" t="s">
        <v>136</v>
      </c>
      <c r="D349" s="13" t="s">
        <v>16</v>
      </c>
      <c r="E349" s="13" t="s">
        <v>83</v>
      </c>
      <c r="F349" s="14" t="n">
        <v>3986</v>
      </c>
      <c r="G349" s="15" t="n">
        <v>33.56</v>
      </c>
    </row>
    <row r="350" customFormat="false" ht="15" hidden="false" customHeight="false" outlineLevel="0" collapsed="false">
      <c r="A350" s="13" t="s">
        <v>219</v>
      </c>
      <c r="B350" s="13" t="n">
        <v>13</v>
      </c>
      <c r="C350" s="13" t="s">
        <v>136</v>
      </c>
      <c r="D350" s="13" t="s">
        <v>16</v>
      </c>
      <c r="E350" s="13" t="s">
        <v>83</v>
      </c>
      <c r="F350" s="14" t="n">
        <v>5080</v>
      </c>
      <c r="G350" s="15" t="n">
        <v>42.77</v>
      </c>
    </row>
    <row r="351" customFormat="false" ht="15" hidden="false" customHeight="false" outlineLevel="0" collapsed="false">
      <c r="A351" s="13" t="s">
        <v>220</v>
      </c>
      <c r="B351" s="13" t="n">
        <v>14</v>
      </c>
      <c r="C351" s="13" t="s">
        <v>136</v>
      </c>
      <c r="D351" s="13" t="s">
        <v>16</v>
      </c>
      <c r="E351" s="13" t="s">
        <v>83</v>
      </c>
      <c r="F351" s="14" t="n">
        <v>4718</v>
      </c>
      <c r="G351" s="15" t="n">
        <v>39.73</v>
      </c>
    </row>
    <row r="352" customFormat="false" ht="15" hidden="false" customHeight="false" outlineLevel="0" collapsed="false">
      <c r="A352" s="13" t="s">
        <v>9</v>
      </c>
      <c r="B352" s="13" t="n">
        <v>1</v>
      </c>
      <c r="C352" s="13" t="s">
        <v>119</v>
      </c>
      <c r="D352" s="13" t="s">
        <v>16</v>
      </c>
      <c r="E352" s="13" t="s">
        <v>65</v>
      </c>
      <c r="F352" s="14" t="n">
        <v>4607</v>
      </c>
      <c r="G352" s="15" t="n">
        <v>49.71</v>
      </c>
    </row>
    <row r="353" customFormat="false" ht="15" hidden="false" customHeight="false" outlineLevel="0" collapsed="false">
      <c r="A353" s="13" t="s">
        <v>208</v>
      </c>
      <c r="B353" s="13" t="n">
        <v>2</v>
      </c>
      <c r="C353" s="13" t="s">
        <v>119</v>
      </c>
      <c r="D353" s="13" t="s">
        <v>16</v>
      </c>
      <c r="E353" s="13" t="s">
        <v>65</v>
      </c>
      <c r="F353" s="14" t="n">
        <v>4588</v>
      </c>
      <c r="G353" s="15" t="n">
        <v>49.5</v>
      </c>
    </row>
    <row r="354" customFormat="false" ht="15" hidden="false" customHeight="false" outlineLevel="0" collapsed="false">
      <c r="A354" s="13" t="s">
        <v>209</v>
      </c>
      <c r="B354" s="13" t="n">
        <v>3</v>
      </c>
      <c r="C354" s="13" t="s">
        <v>119</v>
      </c>
      <c r="D354" s="13" t="s">
        <v>16</v>
      </c>
      <c r="E354" s="13" t="s">
        <v>65</v>
      </c>
      <c r="F354" s="14" t="n">
        <v>4389</v>
      </c>
      <c r="G354" s="15" t="n">
        <v>47.36</v>
      </c>
    </row>
    <row r="355" customFormat="false" ht="15" hidden="false" customHeight="false" outlineLevel="0" collapsed="false">
      <c r="A355" s="13" t="s">
        <v>210</v>
      </c>
      <c r="B355" s="13" t="n">
        <v>4</v>
      </c>
      <c r="C355" s="13" t="s">
        <v>119</v>
      </c>
      <c r="D355" s="13" t="s">
        <v>16</v>
      </c>
      <c r="E355" s="13" t="s">
        <v>65</v>
      </c>
      <c r="F355" s="14" t="n">
        <v>4804</v>
      </c>
      <c r="G355" s="15" t="n">
        <v>51.84</v>
      </c>
    </row>
    <row r="356" customFormat="false" ht="15" hidden="false" customHeight="false" outlineLevel="0" collapsed="false">
      <c r="A356" s="13" t="s">
        <v>211</v>
      </c>
      <c r="B356" s="13" t="n">
        <v>5</v>
      </c>
      <c r="C356" s="13" t="s">
        <v>119</v>
      </c>
      <c r="D356" s="13" t="s">
        <v>16</v>
      </c>
      <c r="E356" s="13" t="s">
        <v>65</v>
      </c>
      <c r="F356" s="14" t="n">
        <v>4801</v>
      </c>
      <c r="G356" s="15" t="n">
        <v>51.8</v>
      </c>
    </row>
    <row r="357" customFormat="false" ht="15" hidden="false" customHeight="false" outlineLevel="0" collapsed="false">
      <c r="A357" s="13" t="s">
        <v>212</v>
      </c>
      <c r="B357" s="13" t="n">
        <v>6</v>
      </c>
      <c r="C357" s="13" t="s">
        <v>119</v>
      </c>
      <c r="D357" s="13" t="s">
        <v>16</v>
      </c>
      <c r="E357" s="13" t="s">
        <v>65</v>
      </c>
      <c r="F357" s="14" t="n">
        <v>5854</v>
      </c>
      <c r="G357" s="15" t="n">
        <v>63.16</v>
      </c>
    </row>
    <row r="358" customFormat="false" ht="15" hidden="false" customHeight="false" outlineLevel="0" collapsed="false">
      <c r="A358" s="13" t="s">
        <v>213</v>
      </c>
      <c r="B358" s="13" t="n">
        <v>7</v>
      </c>
      <c r="C358" s="13" t="s">
        <v>119</v>
      </c>
      <c r="D358" s="13" t="s">
        <v>16</v>
      </c>
      <c r="E358" s="13" t="s">
        <v>65</v>
      </c>
      <c r="F358" s="14" t="n">
        <v>6174</v>
      </c>
      <c r="G358" s="15" t="n">
        <v>66.62</v>
      </c>
    </row>
    <row r="359" customFormat="false" ht="15" hidden="false" customHeight="false" outlineLevel="0" collapsed="false">
      <c r="A359" s="13" t="s">
        <v>214</v>
      </c>
      <c r="B359" s="13" t="n">
        <v>8</v>
      </c>
      <c r="C359" s="13" t="s">
        <v>119</v>
      </c>
      <c r="D359" s="13" t="s">
        <v>16</v>
      </c>
      <c r="E359" s="13" t="s">
        <v>65</v>
      </c>
      <c r="F359" s="14" t="n">
        <v>5022</v>
      </c>
      <c r="G359" s="15" t="n">
        <v>54.19</v>
      </c>
    </row>
    <row r="360" customFormat="false" ht="15" hidden="false" customHeight="false" outlineLevel="0" collapsed="false">
      <c r="A360" s="13" t="s">
        <v>215</v>
      </c>
      <c r="B360" s="13" t="n">
        <v>9</v>
      </c>
      <c r="C360" s="13" t="s">
        <v>119</v>
      </c>
      <c r="D360" s="13" t="s">
        <v>16</v>
      </c>
      <c r="E360" s="13" t="s">
        <v>65</v>
      </c>
      <c r="F360" s="14" t="n">
        <v>4516</v>
      </c>
      <c r="G360" s="15" t="n">
        <v>48.73</v>
      </c>
    </row>
    <row r="361" customFormat="false" ht="15" hidden="false" customHeight="false" outlineLevel="0" collapsed="false">
      <c r="A361" s="13" t="s">
        <v>216</v>
      </c>
      <c r="B361" s="13" t="n">
        <v>10</v>
      </c>
      <c r="C361" s="13" t="s">
        <v>119</v>
      </c>
      <c r="D361" s="13" t="s">
        <v>16</v>
      </c>
      <c r="E361" s="13" t="s">
        <v>65</v>
      </c>
      <c r="F361" s="14" t="n">
        <v>4724</v>
      </c>
      <c r="G361" s="15" t="n">
        <v>50.97</v>
      </c>
    </row>
    <row r="362" customFormat="false" ht="15" hidden="false" customHeight="false" outlineLevel="0" collapsed="false">
      <c r="A362" s="13" t="s">
        <v>217</v>
      </c>
      <c r="B362" s="13" t="n">
        <v>11</v>
      </c>
      <c r="C362" s="13" t="s">
        <v>119</v>
      </c>
      <c r="D362" s="13" t="s">
        <v>16</v>
      </c>
      <c r="E362" s="13" t="s">
        <v>65</v>
      </c>
      <c r="F362" s="14" t="n">
        <v>4447</v>
      </c>
      <c r="G362" s="15" t="n">
        <v>47.98</v>
      </c>
    </row>
    <row r="363" customFormat="false" ht="15" hidden="false" customHeight="false" outlineLevel="0" collapsed="false">
      <c r="A363" s="13" t="s">
        <v>218</v>
      </c>
      <c r="B363" s="13" t="n">
        <v>12</v>
      </c>
      <c r="C363" s="13" t="s">
        <v>119</v>
      </c>
      <c r="D363" s="13" t="s">
        <v>16</v>
      </c>
      <c r="E363" s="13" t="s">
        <v>65</v>
      </c>
      <c r="F363" s="14" t="n">
        <v>4627</v>
      </c>
      <c r="G363" s="15" t="n">
        <v>49.93</v>
      </c>
    </row>
    <row r="364" customFormat="false" ht="15" hidden="false" customHeight="false" outlineLevel="0" collapsed="false">
      <c r="A364" s="13" t="s">
        <v>219</v>
      </c>
      <c r="B364" s="13" t="n">
        <v>13</v>
      </c>
      <c r="C364" s="13" t="s">
        <v>119</v>
      </c>
      <c r="D364" s="13" t="s">
        <v>16</v>
      </c>
      <c r="E364" s="13" t="s">
        <v>65</v>
      </c>
      <c r="F364" s="14" t="n">
        <v>5449</v>
      </c>
      <c r="G364" s="15" t="n">
        <v>58.79</v>
      </c>
    </row>
    <row r="365" customFormat="false" ht="15" hidden="false" customHeight="false" outlineLevel="0" collapsed="false">
      <c r="A365" s="13" t="s">
        <v>220</v>
      </c>
      <c r="B365" s="13" t="n">
        <v>14</v>
      </c>
      <c r="C365" s="13" t="s">
        <v>119</v>
      </c>
      <c r="D365" s="13" t="s">
        <v>16</v>
      </c>
      <c r="E365" s="13" t="s">
        <v>65</v>
      </c>
      <c r="F365" s="14" t="n">
        <v>6202</v>
      </c>
      <c r="G365" s="15" t="n">
        <v>66.92</v>
      </c>
    </row>
    <row r="366" customFormat="false" ht="15" hidden="false" customHeight="false" outlineLevel="0" collapsed="false">
      <c r="A366" s="13" t="s">
        <v>9</v>
      </c>
      <c r="B366" s="13" t="n">
        <v>1</v>
      </c>
      <c r="C366" s="13" t="s">
        <v>138</v>
      </c>
      <c r="D366" s="13" t="s">
        <v>16</v>
      </c>
      <c r="E366" s="13" t="s">
        <v>92</v>
      </c>
      <c r="F366" s="14" t="n">
        <v>5580</v>
      </c>
      <c r="G366" s="15" t="n">
        <v>60.65</v>
      </c>
    </row>
    <row r="367" customFormat="false" ht="15" hidden="false" customHeight="false" outlineLevel="0" collapsed="false">
      <c r="A367" s="13" t="s">
        <v>208</v>
      </c>
      <c r="B367" s="13" t="n">
        <v>2</v>
      </c>
      <c r="C367" s="13" t="s">
        <v>138</v>
      </c>
      <c r="D367" s="13" t="s">
        <v>16</v>
      </c>
      <c r="E367" s="13" t="s">
        <v>92</v>
      </c>
      <c r="F367" s="14" t="n">
        <v>5389</v>
      </c>
      <c r="G367" s="15" t="n">
        <v>58.58</v>
      </c>
    </row>
    <row r="368" customFormat="false" ht="15" hidden="false" customHeight="false" outlineLevel="0" collapsed="false">
      <c r="A368" s="13" t="s">
        <v>209</v>
      </c>
      <c r="B368" s="13" t="n">
        <v>3</v>
      </c>
      <c r="C368" s="13" t="s">
        <v>138</v>
      </c>
      <c r="D368" s="13" t="s">
        <v>16</v>
      </c>
      <c r="E368" s="13" t="s">
        <v>92</v>
      </c>
      <c r="F368" s="14" t="n">
        <v>5851</v>
      </c>
      <c r="G368" s="15" t="n">
        <v>63.6</v>
      </c>
    </row>
    <row r="369" customFormat="false" ht="15" hidden="false" customHeight="false" outlineLevel="0" collapsed="false">
      <c r="A369" s="13" t="s">
        <v>210</v>
      </c>
      <c r="B369" s="13" t="n">
        <v>4</v>
      </c>
      <c r="C369" s="13" t="s">
        <v>138</v>
      </c>
      <c r="D369" s="13" t="s">
        <v>16</v>
      </c>
      <c r="E369" s="13" t="s">
        <v>92</v>
      </c>
      <c r="F369" s="14" t="n">
        <v>4749</v>
      </c>
      <c r="G369" s="15" t="n">
        <v>51.62</v>
      </c>
    </row>
    <row r="370" customFormat="false" ht="15" hidden="false" customHeight="false" outlineLevel="0" collapsed="false">
      <c r="A370" s="13" t="s">
        <v>211</v>
      </c>
      <c r="B370" s="13" t="n">
        <v>5</v>
      </c>
      <c r="C370" s="13" t="s">
        <v>138</v>
      </c>
      <c r="D370" s="13" t="s">
        <v>16</v>
      </c>
      <c r="E370" s="13" t="s">
        <v>92</v>
      </c>
      <c r="F370" s="14" t="n">
        <v>4801</v>
      </c>
      <c r="G370" s="15" t="n">
        <v>52.19</v>
      </c>
    </row>
    <row r="371" customFormat="false" ht="15" hidden="false" customHeight="false" outlineLevel="0" collapsed="false">
      <c r="A371" s="13" t="s">
        <v>212</v>
      </c>
      <c r="B371" s="13" t="n">
        <v>6</v>
      </c>
      <c r="C371" s="13" t="s">
        <v>138</v>
      </c>
      <c r="D371" s="13" t="s">
        <v>16</v>
      </c>
      <c r="E371" s="13" t="s">
        <v>92</v>
      </c>
      <c r="F371" s="14" t="n">
        <v>6999</v>
      </c>
      <c r="G371" s="15" t="n">
        <v>76.08</v>
      </c>
    </row>
    <row r="372" customFormat="false" ht="15" hidden="false" customHeight="false" outlineLevel="0" collapsed="false">
      <c r="A372" s="13" t="s">
        <v>213</v>
      </c>
      <c r="B372" s="13" t="n">
        <v>7</v>
      </c>
      <c r="C372" s="13" t="s">
        <v>138</v>
      </c>
      <c r="D372" s="13" t="s">
        <v>16</v>
      </c>
      <c r="E372" s="13" t="s">
        <v>92</v>
      </c>
      <c r="F372" s="14" t="n">
        <v>6704</v>
      </c>
      <c r="G372" s="15" t="n">
        <v>72.87</v>
      </c>
    </row>
    <row r="373" customFormat="false" ht="15" hidden="false" customHeight="false" outlineLevel="0" collapsed="false">
      <c r="A373" s="13" t="s">
        <v>214</v>
      </c>
      <c r="B373" s="13" t="n">
        <v>8</v>
      </c>
      <c r="C373" s="13" t="s">
        <v>138</v>
      </c>
      <c r="D373" s="13" t="s">
        <v>16</v>
      </c>
      <c r="E373" s="13" t="s">
        <v>92</v>
      </c>
      <c r="F373" s="14" t="n">
        <v>5542</v>
      </c>
      <c r="G373" s="15" t="n">
        <v>60.24</v>
      </c>
    </row>
    <row r="374" customFormat="false" ht="15" hidden="false" customHeight="false" outlineLevel="0" collapsed="false">
      <c r="A374" s="13" t="s">
        <v>215</v>
      </c>
      <c r="B374" s="13" t="n">
        <v>9</v>
      </c>
      <c r="C374" s="13" t="s">
        <v>138</v>
      </c>
      <c r="D374" s="13" t="s">
        <v>16</v>
      </c>
      <c r="E374" s="13" t="s">
        <v>92</v>
      </c>
      <c r="F374" s="14" t="n">
        <v>5026</v>
      </c>
      <c r="G374" s="15" t="n">
        <v>54.63</v>
      </c>
    </row>
    <row r="375" customFormat="false" ht="15" hidden="false" customHeight="false" outlineLevel="0" collapsed="false">
      <c r="A375" s="13" t="s">
        <v>216</v>
      </c>
      <c r="B375" s="13" t="n">
        <v>10</v>
      </c>
      <c r="C375" s="13" t="s">
        <v>138</v>
      </c>
      <c r="D375" s="13" t="s">
        <v>16</v>
      </c>
      <c r="E375" s="13" t="s">
        <v>92</v>
      </c>
      <c r="F375" s="14" t="n">
        <v>5453</v>
      </c>
      <c r="G375" s="15" t="n">
        <v>59.27</v>
      </c>
    </row>
    <row r="376" customFormat="false" ht="15" hidden="false" customHeight="false" outlineLevel="0" collapsed="false">
      <c r="A376" s="13" t="s">
        <v>217</v>
      </c>
      <c r="B376" s="13" t="n">
        <v>11</v>
      </c>
      <c r="C376" s="13" t="s">
        <v>138</v>
      </c>
      <c r="D376" s="13" t="s">
        <v>16</v>
      </c>
      <c r="E376" s="13" t="s">
        <v>92</v>
      </c>
      <c r="F376" s="14" t="n">
        <v>6117</v>
      </c>
      <c r="G376" s="15" t="n">
        <v>66.49</v>
      </c>
    </row>
    <row r="377" customFormat="false" ht="15" hidden="false" customHeight="false" outlineLevel="0" collapsed="false">
      <c r="A377" s="13" t="s">
        <v>218</v>
      </c>
      <c r="B377" s="13" t="n">
        <v>12</v>
      </c>
      <c r="C377" s="13" t="s">
        <v>138</v>
      </c>
      <c r="D377" s="13" t="s">
        <v>16</v>
      </c>
      <c r="E377" s="13" t="s">
        <v>92</v>
      </c>
      <c r="F377" s="14" t="n">
        <v>5730</v>
      </c>
      <c r="G377" s="15" t="n">
        <v>62.29</v>
      </c>
    </row>
    <row r="378" customFormat="false" ht="15" hidden="false" customHeight="false" outlineLevel="0" collapsed="false">
      <c r="A378" s="13" t="s">
        <v>219</v>
      </c>
      <c r="B378" s="13" t="n">
        <v>13</v>
      </c>
      <c r="C378" s="13" t="s">
        <v>138</v>
      </c>
      <c r="D378" s="13" t="s">
        <v>16</v>
      </c>
      <c r="E378" s="13" t="s">
        <v>92</v>
      </c>
      <c r="F378" s="14" t="n">
        <v>6748</v>
      </c>
      <c r="G378" s="15" t="n">
        <v>73.35</v>
      </c>
    </row>
    <row r="379" customFormat="false" ht="15" hidden="false" customHeight="false" outlineLevel="0" collapsed="false">
      <c r="A379" s="13" t="s">
        <v>220</v>
      </c>
      <c r="B379" s="13" t="n">
        <v>14</v>
      </c>
      <c r="C379" s="13" t="s">
        <v>138</v>
      </c>
      <c r="D379" s="13" t="s">
        <v>16</v>
      </c>
      <c r="E379" s="13" t="s">
        <v>92</v>
      </c>
      <c r="F379" s="14" t="n">
        <v>6504</v>
      </c>
      <c r="G379" s="15" t="n">
        <v>70.7</v>
      </c>
    </row>
    <row r="380" customFormat="false" ht="15" hidden="false" customHeight="false" outlineLevel="0" collapsed="false">
      <c r="A380" s="13" t="s">
        <v>9</v>
      </c>
      <c r="B380" s="13" t="n">
        <v>1</v>
      </c>
      <c r="C380" s="13" t="s">
        <v>134</v>
      </c>
      <c r="D380" s="13" t="s">
        <v>16</v>
      </c>
      <c r="E380" s="13" t="s">
        <v>83</v>
      </c>
      <c r="F380" s="14" t="n">
        <v>2533</v>
      </c>
      <c r="G380" s="15" t="n">
        <v>20.95</v>
      </c>
    </row>
    <row r="381" customFormat="false" ht="15" hidden="false" customHeight="false" outlineLevel="0" collapsed="false">
      <c r="A381" s="13" t="s">
        <v>208</v>
      </c>
      <c r="B381" s="13" t="n">
        <v>2</v>
      </c>
      <c r="C381" s="13" t="s">
        <v>134</v>
      </c>
      <c r="D381" s="13" t="s">
        <v>16</v>
      </c>
      <c r="E381" s="13" t="s">
        <v>83</v>
      </c>
      <c r="F381" s="14" t="n">
        <v>2263</v>
      </c>
      <c r="G381" s="15" t="n">
        <v>18.72</v>
      </c>
    </row>
    <row r="382" customFormat="false" ht="15" hidden="false" customHeight="false" outlineLevel="0" collapsed="false">
      <c r="A382" s="13" t="s">
        <v>209</v>
      </c>
      <c r="B382" s="13" t="n">
        <v>3</v>
      </c>
      <c r="C382" s="13" t="s">
        <v>134</v>
      </c>
      <c r="D382" s="13" t="s">
        <v>16</v>
      </c>
      <c r="E382" s="13" t="s">
        <v>83</v>
      </c>
      <c r="F382" s="14" t="n">
        <v>2634</v>
      </c>
      <c r="G382" s="15" t="n">
        <v>21.78</v>
      </c>
    </row>
    <row r="383" customFormat="false" ht="15" hidden="false" customHeight="false" outlineLevel="0" collapsed="false">
      <c r="A383" s="13" t="s">
        <v>210</v>
      </c>
      <c r="B383" s="13" t="n">
        <v>4</v>
      </c>
      <c r="C383" s="13" t="s">
        <v>134</v>
      </c>
      <c r="D383" s="13" t="s">
        <v>16</v>
      </c>
      <c r="E383" s="13" t="s">
        <v>83</v>
      </c>
      <c r="F383" s="14" t="n">
        <v>2726</v>
      </c>
      <c r="G383" s="15" t="n">
        <v>22.54</v>
      </c>
    </row>
    <row r="384" customFormat="false" ht="15" hidden="false" customHeight="false" outlineLevel="0" collapsed="false">
      <c r="A384" s="13" t="s">
        <v>211</v>
      </c>
      <c r="B384" s="13" t="n">
        <v>5</v>
      </c>
      <c r="C384" s="13" t="s">
        <v>134</v>
      </c>
      <c r="D384" s="13" t="s">
        <v>16</v>
      </c>
      <c r="E384" s="13" t="s">
        <v>83</v>
      </c>
      <c r="F384" s="14" t="n">
        <v>2349</v>
      </c>
      <c r="G384" s="15" t="n">
        <v>19.43</v>
      </c>
    </row>
    <row r="385" customFormat="false" ht="15" hidden="false" customHeight="false" outlineLevel="0" collapsed="false">
      <c r="A385" s="13" t="s">
        <v>212</v>
      </c>
      <c r="B385" s="13" t="n">
        <v>6</v>
      </c>
      <c r="C385" s="13" t="s">
        <v>134</v>
      </c>
      <c r="D385" s="13" t="s">
        <v>16</v>
      </c>
      <c r="E385" s="13" t="s">
        <v>83</v>
      </c>
      <c r="F385" s="14" t="n">
        <v>3048</v>
      </c>
      <c r="G385" s="15" t="n">
        <v>25.21</v>
      </c>
    </row>
    <row r="386" customFormat="false" ht="15" hidden="false" customHeight="false" outlineLevel="0" collapsed="false">
      <c r="A386" s="13" t="s">
        <v>213</v>
      </c>
      <c r="B386" s="13" t="n">
        <v>7</v>
      </c>
      <c r="C386" s="13" t="s">
        <v>134</v>
      </c>
      <c r="D386" s="13" t="s">
        <v>16</v>
      </c>
      <c r="E386" s="13" t="s">
        <v>83</v>
      </c>
      <c r="F386" s="14" t="n">
        <v>2953</v>
      </c>
      <c r="G386" s="15" t="n">
        <v>24.42</v>
      </c>
    </row>
    <row r="387" customFormat="false" ht="15" hidden="false" customHeight="false" outlineLevel="0" collapsed="false">
      <c r="A387" s="13" t="s">
        <v>214</v>
      </c>
      <c r="B387" s="13" t="n">
        <v>8</v>
      </c>
      <c r="C387" s="13" t="s">
        <v>134</v>
      </c>
      <c r="D387" s="13" t="s">
        <v>16</v>
      </c>
      <c r="E387" s="13" t="s">
        <v>83</v>
      </c>
      <c r="F387" s="14" t="n">
        <v>2444</v>
      </c>
      <c r="G387" s="15" t="n">
        <v>20.21</v>
      </c>
    </row>
    <row r="388" customFormat="false" ht="15" hidden="false" customHeight="false" outlineLevel="0" collapsed="false">
      <c r="A388" s="13" t="s">
        <v>215</v>
      </c>
      <c r="B388" s="13" t="n">
        <v>9</v>
      </c>
      <c r="C388" s="13" t="s">
        <v>134</v>
      </c>
      <c r="D388" s="13" t="s">
        <v>16</v>
      </c>
      <c r="E388" s="13" t="s">
        <v>83</v>
      </c>
      <c r="F388" s="14" t="n">
        <v>2602</v>
      </c>
      <c r="G388" s="15" t="n">
        <v>21.52</v>
      </c>
    </row>
    <row r="389" customFormat="false" ht="15" hidden="false" customHeight="false" outlineLevel="0" collapsed="false">
      <c r="A389" s="13" t="s">
        <v>216</v>
      </c>
      <c r="B389" s="13" t="n">
        <v>10</v>
      </c>
      <c r="C389" s="13" t="s">
        <v>134</v>
      </c>
      <c r="D389" s="13" t="s">
        <v>16</v>
      </c>
      <c r="E389" s="13" t="s">
        <v>83</v>
      </c>
      <c r="F389" s="14" t="n">
        <v>2270</v>
      </c>
      <c r="G389" s="15" t="n">
        <v>18.77</v>
      </c>
    </row>
    <row r="390" customFormat="false" ht="15" hidden="false" customHeight="false" outlineLevel="0" collapsed="false">
      <c r="A390" s="13" t="s">
        <v>217</v>
      </c>
      <c r="B390" s="13" t="n">
        <v>11</v>
      </c>
      <c r="C390" s="13" t="s">
        <v>134</v>
      </c>
      <c r="D390" s="13" t="s">
        <v>16</v>
      </c>
      <c r="E390" s="13" t="s">
        <v>83</v>
      </c>
      <c r="F390" s="14" t="n">
        <v>2690</v>
      </c>
      <c r="G390" s="15" t="n">
        <v>22.25</v>
      </c>
    </row>
    <row r="391" customFormat="false" ht="15" hidden="false" customHeight="false" outlineLevel="0" collapsed="false">
      <c r="A391" s="13" t="s">
        <v>218</v>
      </c>
      <c r="B391" s="13" t="n">
        <v>12</v>
      </c>
      <c r="C391" s="13" t="s">
        <v>134</v>
      </c>
      <c r="D391" s="13" t="s">
        <v>16</v>
      </c>
      <c r="E391" s="13" t="s">
        <v>83</v>
      </c>
      <c r="F391" s="14" t="n">
        <v>2711</v>
      </c>
      <c r="G391" s="15" t="n">
        <v>22.42</v>
      </c>
    </row>
    <row r="392" customFormat="false" ht="15" hidden="false" customHeight="false" outlineLevel="0" collapsed="false">
      <c r="A392" s="13" t="s">
        <v>219</v>
      </c>
      <c r="B392" s="13" t="n">
        <v>13</v>
      </c>
      <c r="C392" s="13" t="s">
        <v>134</v>
      </c>
      <c r="D392" s="13" t="s">
        <v>16</v>
      </c>
      <c r="E392" s="13" t="s">
        <v>83</v>
      </c>
      <c r="F392" s="14" t="n">
        <v>3126</v>
      </c>
      <c r="G392" s="15" t="n">
        <v>25.85</v>
      </c>
    </row>
    <row r="393" customFormat="false" ht="15" hidden="false" customHeight="false" outlineLevel="0" collapsed="false">
      <c r="A393" s="13" t="s">
        <v>220</v>
      </c>
      <c r="B393" s="13" t="n">
        <v>14</v>
      </c>
      <c r="C393" s="13" t="s">
        <v>134</v>
      </c>
      <c r="D393" s="13" t="s">
        <v>16</v>
      </c>
      <c r="E393" s="13" t="s">
        <v>83</v>
      </c>
      <c r="F393" s="14" t="n">
        <v>2701</v>
      </c>
      <c r="G393" s="15" t="n">
        <v>22.34</v>
      </c>
    </row>
    <row r="394" customFormat="false" ht="15" hidden="false" customHeight="false" outlineLevel="0" collapsed="false">
      <c r="A394" s="13" t="s">
        <v>9</v>
      </c>
      <c r="B394" s="13" t="n">
        <v>1</v>
      </c>
      <c r="C394" s="13" t="s">
        <v>133</v>
      </c>
      <c r="D394" s="13" t="s">
        <v>16</v>
      </c>
      <c r="E394" s="13" t="s">
        <v>83</v>
      </c>
      <c r="F394" s="14" t="n">
        <v>4369</v>
      </c>
      <c r="G394" s="15" t="n">
        <v>38.1</v>
      </c>
    </row>
    <row r="395" customFormat="false" ht="15" hidden="false" customHeight="false" outlineLevel="0" collapsed="false">
      <c r="A395" s="13" t="s">
        <v>208</v>
      </c>
      <c r="B395" s="13" t="n">
        <v>2</v>
      </c>
      <c r="C395" s="13" t="s">
        <v>133</v>
      </c>
      <c r="D395" s="13" t="s">
        <v>16</v>
      </c>
      <c r="E395" s="13" t="s">
        <v>83</v>
      </c>
      <c r="F395" s="14" t="n">
        <v>4991</v>
      </c>
      <c r="G395" s="15" t="n">
        <v>43.52</v>
      </c>
    </row>
    <row r="396" customFormat="false" ht="15" hidden="false" customHeight="false" outlineLevel="0" collapsed="false">
      <c r="A396" s="13" t="s">
        <v>209</v>
      </c>
      <c r="B396" s="13" t="n">
        <v>3</v>
      </c>
      <c r="C396" s="13" t="s">
        <v>133</v>
      </c>
      <c r="D396" s="13" t="s">
        <v>16</v>
      </c>
      <c r="E396" s="13" t="s">
        <v>83</v>
      </c>
      <c r="F396" s="14" t="n">
        <v>3872</v>
      </c>
      <c r="G396" s="15" t="n">
        <v>33.76</v>
      </c>
    </row>
    <row r="397" customFormat="false" ht="15" hidden="false" customHeight="false" outlineLevel="0" collapsed="false">
      <c r="A397" s="13" t="s">
        <v>210</v>
      </c>
      <c r="B397" s="13" t="n">
        <v>4</v>
      </c>
      <c r="C397" s="13" t="s">
        <v>133</v>
      </c>
      <c r="D397" s="13" t="s">
        <v>16</v>
      </c>
      <c r="E397" s="13" t="s">
        <v>83</v>
      </c>
      <c r="F397" s="14" t="n">
        <v>4550</v>
      </c>
      <c r="G397" s="15" t="n">
        <v>39.68</v>
      </c>
    </row>
    <row r="398" customFormat="false" ht="15" hidden="false" customHeight="false" outlineLevel="0" collapsed="false">
      <c r="A398" s="13" t="s">
        <v>211</v>
      </c>
      <c r="B398" s="13" t="n">
        <v>5</v>
      </c>
      <c r="C398" s="13" t="s">
        <v>133</v>
      </c>
      <c r="D398" s="13" t="s">
        <v>16</v>
      </c>
      <c r="E398" s="13" t="s">
        <v>83</v>
      </c>
      <c r="F398" s="14" t="n">
        <v>4318</v>
      </c>
      <c r="G398" s="15" t="n">
        <v>37.65</v>
      </c>
    </row>
    <row r="399" customFormat="false" ht="15" hidden="false" customHeight="false" outlineLevel="0" collapsed="false">
      <c r="A399" s="13" t="s">
        <v>212</v>
      </c>
      <c r="B399" s="13" t="n">
        <v>6</v>
      </c>
      <c r="C399" s="13" t="s">
        <v>133</v>
      </c>
      <c r="D399" s="13" t="s">
        <v>16</v>
      </c>
      <c r="E399" s="13" t="s">
        <v>83</v>
      </c>
      <c r="F399" s="14" t="n">
        <v>5959</v>
      </c>
      <c r="G399" s="15" t="n">
        <v>51.96</v>
      </c>
    </row>
    <row r="400" customFormat="false" ht="15" hidden="false" customHeight="false" outlineLevel="0" collapsed="false">
      <c r="A400" s="13" t="s">
        <v>213</v>
      </c>
      <c r="B400" s="13" t="n">
        <v>7</v>
      </c>
      <c r="C400" s="13" t="s">
        <v>133</v>
      </c>
      <c r="D400" s="13" t="s">
        <v>16</v>
      </c>
      <c r="E400" s="13" t="s">
        <v>83</v>
      </c>
      <c r="F400" s="14" t="n">
        <v>5455</v>
      </c>
      <c r="G400" s="15" t="n">
        <v>47.57</v>
      </c>
    </row>
    <row r="401" customFormat="false" ht="15" hidden="false" customHeight="false" outlineLevel="0" collapsed="false">
      <c r="A401" s="13" t="s">
        <v>214</v>
      </c>
      <c r="B401" s="13" t="n">
        <v>8</v>
      </c>
      <c r="C401" s="13" t="s">
        <v>133</v>
      </c>
      <c r="D401" s="13" t="s">
        <v>16</v>
      </c>
      <c r="E401" s="13" t="s">
        <v>83</v>
      </c>
      <c r="F401" s="14" t="n">
        <v>4759</v>
      </c>
      <c r="G401" s="15" t="n">
        <v>41.5</v>
      </c>
    </row>
    <row r="402" customFormat="false" ht="15" hidden="false" customHeight="false" outlineLevel="0" collapsed="false">
      <c r="A402" s="13" t="s">
        <v>215</v>
      </c>
      <c r="B402" s="13" t="n">
        <v>9</v>
      </c>
      <c r="C402" s="13" t="s">
        <v>133</v>
      </c>
      <c r="D402" s="13" t="s">
        <v>16</v>
      </c>
      <c r="E402" s="13" t="s">
        <v>83</v>
      </c>
      <c r="F402" s="14" t="n">
        <v>4805</v>
      </c>
      <c r="G402" s="15" t="n">
        <v>41.9</v>
      </c>
    </row>
    <row r="403" customFormat="false" ht="15" hidden="false" customHeight="false" outlineLevel="0" collapsed="false">
      <c r="A403" s="13" t="s">
        <v>216</v>
      </c>
      <c r="B403" s="13" t="n">
        <v>10</v>
      </c>
      <c r="C403" s="13" t="s">
        <v>133</v>
      </c>
      <c r="D403" s="13" t="s">
        <v>16</v>
      </c>
      <c r="E403" s="13" t="s">
        <v>83</v>
      </c>
      <c r="F403" s="14" t="n">
        <v>5159</v>
      </c>
      <c r="G403" s="15" t="n">
        <v>44.99</v>
      </c>
    </row>
    <row r="404" customFormat="false" ht="15" hidden="false" customHeight="false" outlineLevel="0" collapsed="false">
      <c r="A404" s="13" t="s">
        <v>217</v>
      </c>
      <c r="B404" s="13" t="n">
        <v>11</v>
      </c>
      <c r="C404" s="13" t="s">
        <v>133</v>
      </c>
      <c r="D404" s="13" t="s">
        <v>16</v>
      </c>
      <c r="E404" s="13" t="s">
        <v>83</v>
      </c>
      <c r="F404" s="14" t="n">
        <v>4590</v>
      </c>
      <c r="G404" s="15" t="n">
        <v>40.02</v>
      </c>
    </row>
    <row r="405" customFormat="false" ht="15" hidden="false" customHeight="false" outlineLevel="0" collapsed="false">
      <c r="A405" s="13" t="s">
        <v>218</v>
      </c>
      <c r="B405" s="13" t="n">
        <v>12</v>
      </c>
      <c r="C405" s="13" t="s">
        <v>133</v>
      </c>
      <c r="D405" s="13" t="s">
        <v>16</v>
      </c>
      <c r="E405" s="13" t="s">
        <v>83</v>
      </c>
      <c r="F405" s="14" t="n">
        <v>4752</v>
      </c>
      <c r="G405" s="15" t="n">
        <v>41.44</v>
      </c>
    </row>
    <row r="406" customFormat="false" ht="15" hidden="false" customHeight="false" outlineLevel="0" collapsed="false">
      <c r="A406" s="13" t="s">
        <v>219</v>
      </c>
      <c r="B406" s="13" t="n">
        <v>13</v>
      </c>
      <c r="C406" s="13" t="s">
        <v>133</v>
      </c>
      <c r="D406" s="13" t="s">
        <v>16</v>
      </c>
      <c r="E406" s="13" t="s">
        <v>83</v>
      </c>
      <c r="F406" s="14" t="n">
        <v>5178</v>
      </c>
      <c r="G406" s="15" t="n">
        <v>45.15</v>
      </c>
    </row>
    <row r="407" customFormat="false" ht="15" hidden="false" customHeight="false" outlineLevel="0" collapsed="false">
      <c r="A407" s="13" t="s">
        <v>220</v>
      </c>
      <c r="B407" s="13" t="n">
        <v>14</v>
      </c>
      <c r="C407" s="13" t="s">
        <v>133</v>
      </c>
      <c r="D407" s="13" t="s">
        <v>16</v>
      </c>
      <c r="E407" s="13" t="s">
        <v>83</v>
      </c>
      <c r="F407" s="14" t="n">
        <v>6091</v>
      </c>
      <c r="G407" s="15" t="n">
        <v>53.11</v>
      </c>
    </row>
    <row r="408" customFormat="false" ht="15" hidden="false" customHeight="false" outlineLevel="0" collapsed="false">
      <c r="A408" s="13" t="s">
        <v>9</v>
      </c>
      <c r="B408" s="13" t="n">
        <v>1</v>
      </c>
      <c r="C408" s="13" t="s">
        <v>120</v>
      </c>
      <c r="D408" s="13" t="s">
        <v>16</v>
      </c>
      <c r="E408" s="13" t="s">
        <v>65</v>
      </c>
      <c r="F408" s="14" t="n">
        <v>2214</v>
      </c>
      <c r="G408" s="15" t="n">
        <v>25.37</v>
      </c>
    </row>
    <row r="409" customFormat="false" ht="15" hidden="false" customHeight="false" outlineLevel="0" collapsed="false">
      <c r="A409" s="13" t="s">
        <v>208</v>
      </c>
      <c r="B409" s="13" t="n">
        <v>2</v>
      </c>
      <c r="C409" s="13" t="s">
        <v>120</v>
      </c>
      <c r="D409" s="13" t="s">
        <v>16</v>
      </c>
      <c r="E409" s="13" t="s">
        <v>65</v>
      </c>
      <c r="F409" s="14" t="n">
        <v>2242</v>
      </c>
      <c r="G409" s="15" t="n">
        <v>25.69</v>
      </c>
    </row>
    <row r="410" customFormat="false" ht="15" hidden="false" customHeight="false" outlineLevel="0" collapsed="false">
      <c r="A410" s="13" t="s">
        <v>209</v>
      </c>
      <c r="B410" s="13" t="n">
        <v>3</v>
      </c>
      <c r="C410" s="13" t="s">
        <v>120</v>
      </c>
      <c r="D410" s="13" t="s">
        <v>16</v>
      </c>
      <c r="E410" s="13" t="s">
        <v>65</v>
      </c>
      <c r="F410" s="14" t="n">
        <v>2317</v>
      </c>
      <c r="G410" s="15" t="n">
        <v>26.55</v>
      </c>
    </row>
    <row r="411" customFormat="false" ht="15" hidden="false" customHeight="false" outlineLevel="0" collapsed="false">
      <c r="A411" s="13" t="s">
        <v>210</v>
      </c>
      <c r="B411" s="13" t="n">
        <v>4</v>
      </c>
      <c r="C411" s="13" t="s">
        <v>120</v>
      </c>
      <c r="D411" s="13" t="s">
        <v>16</v>
      </c>
      <c r="E411" s="13" t="s">
        <v>65</v>
      </c>
      <c r="F411" s="14" t="n">
        <v>2103</v>
      </c>
      <c r="G411" s="15" t="n">
        <v>24.1</v>
      </c>
    </row>
    <row r="412" customFormat="false" ht="15" hidden="false" customHeight="false" outlineLevel="0" collapsed="false">
      <c r="A412" s="13" t="s">
        <v>211</v>
      </c>
      <c r="B412" s="13" t="n">
        <v>5</v>
      </c>
      <c r="C412" s="13" t="s">
        <v>120</v>
      </c>
      <c r="D412" s="13" t="s">
        <v>16</v>
      </c>
      <c r="E412" s="13" t="s">
        <v>65</v>
      </c>
      <c r="F412" s="14" t="n">
        <v>2352</v>
      </c>
      <c r="G412" s="15" t="n">
        <v>26.95</v>
      </c>
    </row>
    <row r="413" customFormat="false" ht="15" hidden="false" customHeight="false" outlineLevel="0" collapsed="false">
      <c r="A413" s="13" t="s">
        <v>212</v>
      </c>
      <c r="B413" s="13" t="n">
        <v>6</v>
      </c>
      <c r="C413" s="13" t="s">
        <v>120</v>
      </c>
      <c r="D413" s="13" t="s">
        <v>16</v>
      </c>
      <c r="E413" s="13" t="s">
        <v>65</v>
      </c>
      <c r="F413" s="14" t="n">
        <v>3003</v>
      </c>
      <c r="G413" s="15" t="n">
        <v>34.41</v>
      </c>
    </row>
    <row r="414" customFormat="false" ht="15" hidden="false" customHeight="false" outlineLevel="0" collapsed="false">
      <c r="A414" s="13" t="s">
        <v>213</v>
      </c>
      <c r="B414" s="13" t="n">
        <v>7</v>
      </c>
      <c r="C414" s="13" t="s">
        <v>120</v>
      </c>
      <c r="D414" s="13" t="s">
        <v>16</v>
      </c>
      <c r="E414" s="13" t="s">
        <v>65</v>
      </c>
      <c r="F414" s="14" t="n">
        <v>2888</v>
      </c>
      <c r="G414" s="15" t="n">
        <v>33.1</v>
      </c>
    </row>
    <row r="415" customFormat="false" ht="15" hidden="false" customHeight="false" outlineLevel="0" collapsed="false">
      <c r="A415" s="13" t="s">
        <v>214</v>
      </c>
      <c r="B415" s="13" t="n">
        <v>8</v>
      </c>
      <c r="C415" s="13" t="s">
        <v>120</v>
      </c>
      <c r="D415" s="13" t="s">
        <v>16</v>
      </c>
      <c r="E415" s="13" t="s">
        <v>65</v>
      </c>
      <c r="F415" s="14" t="n">
        <v>2099</v>
      </c>
      <c r="G415" s="15" t="n">
        <v>24.05</v>
      </c>
    </row>
    <row r="416" customFormat="false" ht="15" hidden="false" customHeight="false" outlineLevel="0" collapsed="false">
      <c r="A416" s="13" t="s">
        <v>215</v>
      </c>
      <c r="B416" s="13" t="n">
        <v>9</v>
      </c>
      <c r="C416" s="13" t="s">
        <v>120</v>
      </c>
      <c r="D416" s="13" t="s">
        <v>16</v>
      </c>
      <c r="E416" s="13" t="s">
        <v>65</v>
      </c>
      <c r="F416" s="14" t="n">
        <v>2303</v>
      </c>
      <c r="G416" s="15" t="n">
        <v>26.39</v>
      </c>
    </row>
    <row r="417" customFormat="false" ht="15" hidden="false" customHeight="false" outlineLevel="0" collapsed="false">
      <c r="A417" s="13" t="s">
        <v>216</v>
      </c>
      <c r="B417" s="13" t="n">
        <v>10</v>
      </c>
      <c r="C417" s="13" t="s">
        <v>120</v>
      </c>
      <c r="D417" s="13" t="s">
        <v>16</v>
      </c>
      <c r="E417" s="13" t="s">
        <v>65</v>
      </c>
      <c r="F417" s="14" t="n">
        <v>2423</v>
      </c>
      <c r="G417" s="15" t="n">
        <v>27.77</v>
      </c>
    </row>
    <row r="418" customFormat="false" ht="15" hidden="false" customHeight="false" outlineLevel="0" collapsed="false">
      <c r="A418" s="13" t="s">
        <v>217</v>
      </c>
      <c r="B418" s="13" t="n">
        <v>11</v>
      </c>
      <c r="C418" s="13" t="s">
        <v>120</v>
      </c>
      <c r="D418" s="13" t="s">
        <v>16</v>
      </c>
      <c r="E418" s="13" t="s">
        <v>65</v>
      </c>
      <c r="F418" s="14" t="n">
        <v>2059</v>
      </c>
      <c r="G418" s="15" t="n">
        <v>23.6</v>
      </c>
    </row>
    <row r="419" customFormat="false" ht="15" hidden="false" customHeight="false" outlineLevel="0" collapsed="false">
      <c r="A419" s="13" t="s">
        <v>218</v>
      </c>
      <c r="B419" s="13" t="n">
        <v>12</v>
      </c>
      <c r="C419" s="13" t="s">
        <v>120</v>
      </c>
      <c r="D419" s="13" t="s">
        <v>16</v>
      </c>
      <c r="E419" s="13" t="s">
        <v>65</v>
      </c>
      <c r="F419" s="14" t="n">
        <v>2171</v>
      </c>
      <c r="G419" s="15" t="n">
        <v>24.88</v>
      </c>
    </row>
    <row r="420" customFormat="false" ht="15" hidden="false" customHeight="false" outlineLevel="0" collapsed="false">
      <c r="A420" s="13" t="s">
        <v>219</v>
      </c>
      <c r="B420" s="13" t="n">
        <v>13</v>
      </c>
      <c r="C420" s="13" t="s">
        <v>120</v>
      </c>
      <c r="D420" s="13" t="s">
        <v>16</v>
      </c>
      <c r="E420" s="13" t="s">
        <v>65</v>
      </c>
      <c r="F420" s="14" t="n">
        <v>2988</v>
      </c>
      <c r="G420" s="15" t="n">
        <v>34.24</v>
      </c>
    </row>
    <row r="421" customFormat="false" ht="15" hidden="false" customHeight="false" outlineLevel="0" collapsed="false">
      <c r="A421" s="13" t="s">
        <v>220</v>
      </c>
      <c r="B421" s="13" t="n">
        <v>14</v>
      </c>
      <c r="C421" s="13" t="s">
        <v>120</v>
      </c>
      <c r="D421" s="13" t="s">
        <v>16</v>
      </c>
      <c r="E421" s="13" t="s">
        <v>65</v>
      </c>
      <c r="F421" s="14" t="n">
        <v>2884</v>
      </c>
      <c r="G421" s="15" t="n">
        <v>33.05</v>
      </c>
    </row>
    <row r="422" customFormat="false" ht="15" hidden="false" customHeight="false" outlineLevel="0" collapsed="false">
      <c r="A422" s="13" t="s">
        <v>9</v>
      </c>
      <c r="B422" s="13" t="n">
        <v>1</v>
      </c>
      <c r="C422" s="13" t="s">
        <v>113</v>
      </c>
      <c r="D422" s="13" t="s">
        <v>16</v>
      </c>
      <c r="E422" s="13" t="s">
        <v>55</v>
      </c>
      <c r="F422" s="14" t="n">
        <v>2694</v>
      </c>
      <c r="G422" s="15" t="n">
        <v>26.7</v>
      </c>
    </row>
    <row r="423" customFormat="false" ht="15" hidden="false" customHeight="false" outlineLevel="0" collapsed="false">
      <c r="A423" s="13" t="s">
        <v>208</v>
      </c>
      <c r="B423" s="13" t="n">
        <v>2</v>
      </c>
      <c r="C423" s="13" t="s">
        <v>113</v>
      </c>
      <c r="D423" s="13" t="s">
        <v>16</v>
      </c>
      <c r="E423" s="13" t="s">
        <v>55</v>
      </c>
      <c r="F423" s="14" t="n">
        <v>2922</v>
      </c>
      <c r="G423" s="15" t="n">
        <v>28.96</v>
      </c>
    </row>
    <row r="424" customFormat="false" ht="15" hidden="false" customHeight="false" outlineLevel="0" collapsed="false">
      <c r="A424" s="13" t="s">
        <v>209</v>
      </c>
      <c r="B424" s="13" t="n">
        <v>3</v>
      </c>
      <c r="C424" s="13" t="s">
        <v>113</v>
      </c>
      <c r="D424" s="13" t="s">
        <v>16</v>
      </c>
      <c r="E424" s="13" t="s">
        <v>55</v>
      </c>
      <c r="F424" s="14" t="n">
        <v>2703</v>
      </c>
      <c r="G424" s="15" t="n">
        <v>26.79</v>
      </c>
    </row>
    <row r="425" customFormat="false" ht="15" hidden="false" customHeight="false" outlineLevel="0" collapsed="false">
      <c r="A425" s="13" t="s">
        <v>210</v>
      </c>
      <c r="B425" s="13" t="n">
        <v>4</v>
      </c>
      <c r="C425" s="13" t="s">
        <v>113</v>
      </c>
      <c r="D425" s="13" t="s">
        <v>16</v>
      </c>
      <c r="E425" s="13" t="s">
        <v>55</v>
      </c>
      <c r="F425" s="14" t="n">
        <v>2733</v>
      </c>
      <c r="G425" s="15" t="n">
        <v>27.08</v>
      </c>
    </row>
    <row r="426" customFormat="false" ht="15" hidden="false" customHeight="false" outlineLevel="0" collapsed="false">
      <c r="A426" s="13" t="s">
        <v>211</v>
      </c>
      <c r="B426" s="13" t="n">
        <v>5</v>
      </c>
      <c r="C426" s="13" t="s">
        <v>113</v>
      </c>
      <c r="D426" s="13" t="s">
        <v>16</v>
      </c>
      <c r="E426" s="13" t="s">
        <v>55</v>
      </c>
      <c r="F426" s="14" t="n">
        <v>3056</v>
      </c>
      <c r="G426" s="15" t="n">
        <v>30.28</v>
      </c>
    </row>
    <row r="427" customFormat="false" ht="15" hidden="false" customHeight="false" outlineLevel="0" collapsed="false">
      <c r="A427" s="13" t="s">
        <v>212</v>
      </c>
      <c r="B427" s="13" t="n">
        <v>6</v>
      </c>
      <c r="C427" s="13" t="s">
        <v>113</v>
      </c>
      <c r="D427" s="13" t="s">
        <v>16</v>
      </c>
      <c r="E427" s="13" t="s">
        <v>55</v>
      </c>
      <c r="F427" s="14" t="n">
        <v>3175</v>
      </c>
      <c r="G427" s="15" t="n">
        <v>31.46</v>
      </c>
    </row>
    <row r="428" customFormat="false" ht="15" hidden="false" customHeight="false" outlineLevel="0" collapsed="false">
      <c r="A428" s="13" t="s">
        <v>213</v>
      </c>
      <c r="B428" s="13" t="n">
        <v>7</v>
      </c>
      <c r="C428" s="13" t="s">
        <v>113</v>
      </c>
      <c r="D428" s="13" t="s">
        <v>16</v>
      </c>
      <c r="E428" s="13" t="s">
        <v>55</v>
      </c>
      <c r="F428" s="14" t="n">
        <v>3062</v>
      </c>
      <c r="G428" s="15" t="n">
        <v>30.34</v>
      </c>
    </row>
    <row r="429" customFormat="false" ht="15" hidden="false" customHeight="false" outlineLevel="0" collapsed="false">
      <c r="A429" s="13" t="s">
        <v>214</v>
      </c>
      <c r="B429" s="13" t="n">
        <v>8</v>
      </c>
      <c r="C429" s="13" t="s">
        <v>113</v>
      </c>
      <c r="D429" s="13" t="s">
        <v>16</v>
      </c>
      <c r="E429" s="13" t="s">
        <v>55</v>
      </c>
      <c r="F429" s="14" t="n">
        <v>2696</v>
      </c>
      <c r="G429" s="15" t="n">
        <v>26.72</v>
      </c>
    </row>
    <row r="430" customFormat="false" ht="15" hidden="false" customHeight="false" outlineLevel="0" collapsed="false">
      <c r="A430" s="13" t="s">
        <v>215</v>
      </c>
      <c r="B430" s="13" t="n">
        <v>9</v>
      </c>
      <c r="C430" s="13" t="s">
        <v>113</v>
      </c>
      <c r="D430" s="13" t="s">
        <v>16</v>
      </c>
      <c r="E430" s="13" t="s">
        <v>55</v>
      </c>
      <c r="F430" s="14" t="n">
        <v>2698</v>
      </c>
      <c r="G430" s="15" t="n">
        <v>26.74</v>
      </c>
    </row>
    <row r="431" customFormat="false" ht="15" hidden="false" customHeight="false" outlineLevel="0" collapsed="false">
      <c r="A431" s="13" t="s">
        <v>216</v>
      </c>
      <c r="B431" s="13" t="n">
        <v>10</v>
      </c>
      <c r="C431" s="13" t="s">
        <v>113</v>
      </c>
      <c r="D431" s="13" t="s">
        <v>16</v>
      </c>
      <c r="E431" s="13" t="s">
        <v>55</v>
      </c>
      <c r="F431" s="14" t="n">
        <v>2546</v>
      </c>
      <c r="G431" s="15" t="n">
        <v>25.23</v>
      </c>
    </row>
    <row r="432" customFormat="false" ht="15" hidden="false" customHeight="false" outlineLevel="0" collapsed="false">
      <c r="A432" s="13" t="s">
        <v>217</v>
      </c>
      <c r="B432" s="13" t="n">
        <v>11</v>
      </c>
      <c r="C432" s="13" t="s">
        <v>113</v>
      </c>
      <c r="D432" s="13" t="s">
        <v>16</v>
      </c>
      <c r="E432" s="13" t="s">
        <v>55</v>
      </c>
      <c r="F432" s="14" t="n">
        <v>2466</v>
      </c>
      <c r="G432" s="15" t="n">
        <v>24.44</v>
      </c>
    </row>
    <row r="433" customFormat="false" ht="15" hidden="false" customHeight="false" outlineLevel="0" collapsed="false">
      <c r="A433" s="13" t="s">
        <v>218</v>
      </c>
      <c r="B433" s="13" t="n">
        <v>12</v>
      </c>
      <c r="C433" s="13" t="s">
        <v>113</v>
      </c>
      <c r="D433" s="13" t="s">
        <v>16</v>
      </c>
      <c r="E433" s="13" t="s">
        <v>55</v>
      </c>
      <c r="F433" s="14" t="n">
        <v>2993</v>
      </c>
      <c r="G433" s="15" t="n">
        <v>29.66</v>
      </c>
    </row>
    <row r="434" customFormat="false" ht="15" hidden="false" customHeight="false" outlineLevel="0" collapsed="false">
      <c r="A434" s="13" t="s">
        <v>219</v>
      </c>
      <c r="B434" s="13" t="n">
        <v>13</v>
      </c>
      <c r="C434" s="13" t="s">
        <v>113</v>
      </c>
      <c r="D434" s="13" t="s">
        <v>16</v>
      </c>
      <c r="E434" s="13" t="s">
        <v>55</v>
      </c>
      <c r="F434" s="14" t="n">
        <v>3279</v>
      </c>
      <c r="G434" s="15" t="n">
        <v>32.49</v>
      </c>
    </row>
    <row r="435" customFormat="false" ht="15" hidden="false" customHeight="false" outlineLevel="0" collapsed="false">
      <c r="A435" s="13" t="s">
        <v>220</v>
      </c>
      <c r="B435" s="13" t="n">
        <v>14</v>
      </c>
      <c r="C435" s="13" t="s">
        <v>113</v>
      </c>
      <c r="D435" s="13" t="s">
        <v>16</v>
      </c>
      <c r="E435" s="13" t="s">
        <v>55</v>
      </c>
      <c r="F435" s="14" t="n">
        <v>3075</v>
      </c>
      <c r="G435" s="15" t="n">
        <v>30.47</v>
      </c>
    </row>
    <row r="436" customFormat="false" ht="15" hidden="false" customHeight="false" outlineLevel="0" collapsed="false">
      <c r="A436" s="13" t="s">
        <v>9</v>
      </c>
      <c r="B436" s="13" t="n">
        <v>1</v>
      </c>
      <c r="C436" s="13" t="s">
        <v>142</v>
      </c>
      <c r="D436" s="13" t="s">
        <v>16</v>
      </c>
      <c r="E436" s="13" t="s">
        <v>92</v>
      </c>
      <c r="F436" s="14" t="n">
        <v>6761</v>
      </c>
      <c r="G436" s="15" t="n">
        <v>84.72</v>
      </c>
    </row>
    <row r="437" customFormat="false" ht="15" hidden="false" customHeight="false" outlineLevel="0" collapsed="false">
      <c r="A437" s="13" t="s">
        <v>208</v>
      </c>
      <c r="B437" s="13" t="n">
        <v>2</v>
      </c>
      <c r="C437" s="13" t="s">
        <v>142</v>
      </c>
      <c r="D437" s="13" t="s">
        <v>16</v>
      </c>
      <c r="E437" s="13" t="s">
        <v>92</v>
      </c>
      <c r="F437" s="14" t="n">
        <v>6367</v>
      </c>
      <c r="G437" s="15" t="n">
        <v>79.78</v>
      </c>
    </row>
    <row r="438" customFormat="false" ht="15" hidden="false" customHeight="false" outlineLevel="0" collapsed="false">
      <c r="A438" s="13" t="s">
        <v>209</v>
      </c>
      <c r="B438" s="13" t="n">
        <v>3</v>
      </c>
      <c r="C438" s="13" t="s">
        <v>142</v>
      </c>
      <c r="D438" s="13" t="s">
        <v>16</v>
      </c>
      <c r="E438" s="13" t="s">
        <v>92</v>
      </c>
      <c r="F438" s="14" t="n">
        <v>6312</v>
      </c>
      <c r="G438" s="15" t="n">
        <v>79.09</v>
      </c>
    </row>
    <row r="439" customFormat="false" ht="15" hidden="false" customHeight="false" outlineLevel="0" collapsed="false">
      <c r="A439" s="13" t="s">
        <v>210</v>
      </c>
      <c r="B439" s="13" t="n">
        <v>4</v>
      </c>
      <c r="C439" s="13" t="s">
        <v>142</v>
      </c>
      <c r="D439" s="13" t="s">
        <v>16</v>
      </c>
      <c r="E439" s="13" t="s">
        <v>92</v>
      </c>
      <c r="F439" s="14" t="n">
        <v>6625</v>
      </c>
      <c r="G439" s="15" t="n">
        <v>83.01</v>
      </c>
    </row>
    <row r="440" customFormat="false" ht="15" hidden="false" customHeight="false" outlineLevel="0" collapsed="false">
      <c r="A440" s="13" t="s">
        <v>211</v>
      </c>
      <c r="B440" s="13" t="n">
        <v>5</v>
      </c>
      <c r="C440" s="13" t="s">
        <v>142</v>
      </c>
      <c r="D440" s="13" t="s">
        <v>16</v>
      </c>
      <c r="E440" s="13" t="s">
        <v>92</v>
      </c>
      <c r="F440" s="14" t="n">
        <v>5912</v>
      </c>
      <c r="G440" s="15" t="n">
        <v>74.08</v>
      </c>
    </row>
    <row r="441" customFormat="false" ht="15" hidden="false" customHeight="false" outlineLevel="0" collapsed="false">
      <c r="A441" s="13" t="s">
        <v>212</v>
      </c>
      <c r="B441" s="13" t="n">
        <v>6</v>
      </c>
      <c r="C441" s="13" t="s">
        <v>142</v>
      </c>
      <c r="D441" s="13" t="s">
        <v>16</v>
      </c>
      <c r="E441" s="13" t="s">
        <v>92</v>
      </c>
      <c r="F441" s="14" t="n">
        <v>8006</v>
      </c>
      <c r="G441" s="15" t="n">
        <v>100.32</v>
      </c>
    </row>
    <row r="442" customFormat="false" ht="15" hidden="false" customHeight="false" outlineLevel="0" collapsed="false">
      <c r="A442" s="13" t="s">
        <v>213</v>
      </c>
      <c r="B442" s="13" t="n">
        <v>7</v>
      </c>
      <c r="C442" s="13" t="s">
        <v>142</v>
      </c>
      <c r="D442" s="13" t="s">
        <v>16</v>
      </c>
      <c r="E442" s="13" t="s">
        <v>92</v>
      </c>
      <c r="F442" s="14" t="n">
        <v>8741</v>
      </c>
      <c r="G442" s="15" t="n">
        <v>109.52</v>
      </c>
    </row>
    <row r="443" customFormat="false" ht="15" hidden="false" customHeight="false" outlineLevel="0" collapsed="false">
      <c r="A443" s="13" t="s">
        <v>214</v>
      </c>
      <c r="B443" s="13" t="n">
        <v>8</v>
      </c>
      <c r="C443" s="13" t="s">
        <v>142</v>
      </c>
      <c r="D443" s="13" t="s">
        <v>16</v>
      </c>
      <c r="E443" s="13" t="s">
        <v>92</v>
      </c>
      <c r="F443" s="14" t="n">
        <v>6588</v>
      </c>
      <c r="G443" s="15" t="n">
        <v>82.55</v>
      </c>
    </row>
    <row r="444" customFormat="false" ht="15" hidden="false" customHeight="false" outlineLevel="0" collapsed="false">
      <c r="A444" s="13" t="s">
        <v>215</v>
      </c>
      <c r="B444" s="13" t="n">
        <v>9</v>
      </c>
      <c r="C444" s="13" t="s">
        <v>142</v>
      </c>
      <c r="D444" s="13" t="s">
        <v>16</v>
      </c>
      <c r="E444" s="13" t="s">
        <v>92</v>
      </c>
      <c r="F444" s="14" t="n">
        <v>6264</v>
      </c>
      <c r="G444" s="15" t="n">
        <v>78.49</v>
      </c>
    </row>
    <row r="445" customFormat="false" ht="15" hidden="false" customHeight="false" outlineLevel="0" collapsed="false">
      <c r="A445" s="13" t="s">
        <v>216</v>
      </c>
      <c r="B445" s="13" t="n">
        <v>10</v>
      </c>
      <c r="C445" s="13" t="s">
        <v>142</v>
      </c>
      <c r="D445" s="13" t="s">
        <v>16</v>
      </c>
      <c r="E445" s="13" t="s">
        <v>92</v>
      </c>
      <c r="F445" s="14" t="n">
        <v>6214</v>
      </c>
      <c r="G445" s="15" t="n">
        <v>77.86</v>
      </c>
    </row>
    <row r="446" customFormat="false" ht="15" hidden="false" customHeight="false" outlineLevel="0" collapsed="false">
      <c r="A446" s="13" t="s">
        <v>217</v>
      </c>
      <c r="B446" s="13" t="n">
        <v>11</v>
      </c>
      <c r="C446" s="13" t="s">
        <v>142</v>
      </c>
      <c r="D446" s="13" t="s">
        <v>16</v>
      </c>
      <c r="E446" s="13" t="s">
        <v>92</v>
      </c>
      <c r="F446" s="14" t="n">
        <v>6251</v>
      </c>
      <c r="G446" s="15" t="n">
        <v>78.33</v>
      </c>
    </row>
    <row r="447" customFormat="false" ht="15" hidden="false" customHeight="false" outlineLevel="0" collapsed="false">
      <c r="A447" s="13" t="s">
        <v>218</v>
      </c>
      <c r="B447" s="13" t="n">
        <v>12</v>
      </c>
      <c r="C447" s="13" t="s">
        <v>142</v>
      </c>
      <c r="D447" s="13" t="s">
        <v>16</v>
      </c>
      <c r="E447" s="13" t="s">
        <v>92</v>
      </c>
      <c r="F447" s="14" t="n">
        <v>6311</v>
      </c>
      <c r="G447" s="15" t="n">
        <v>79.08</v>
      </c>
    </row>
    <row r="448" customFormat="false" ht="15" hidden="false" customHeight="false" outlineLevel="0" collapsed="false">
      <c r="A448" s="13" t="s">
        <v>219</v>
      </c>
      <c r="B448" s="13" t="n">
        <v>13</v>
      </c>
      <c r="C448" s="13" t="s">
        <v>142</v>
      </c>
      <c r="D448" s="13" t="s">
        <v>16</v>
      </c>
      <c r="E448" s="13" t="s">
        <v>92</v>
      </c>
      <c r="F448" s="14" t="n">
        <v>7663</v>
      </c>
      <c r="G448" s="15" t="n">
        <v>96.02</v>
      </c>
    </row>
    <row r="449" customFormat="false" ht="15" hidden="false" customHeight="false" outlineLevel="0" collapsed="false">
      <c r="A449" s="13" t="s">
        <v>220</v>
      </c>
      <c r="B449" s="13" t="n">
        <v>14</v>
      </c>
      <c r="C449" s="13" t="s">
        <v>142</v>
      </c>
      <c r="D449" s="13" t="s">
        <v>16</v>
      </c>
      <c r="E449" s="13" t="s">
        <v>92</v>
      </c>
      <c r="F449" s="14" t="n">
        <v>8272</v>
      </c>
      <c r="G449" s="15" t="n">
        <v>103.65</v>
      </c>
    </row>
    <row r="450" customFormat="false" ht="15" hidden="false" customHeight="false" outlineLevel="0" collapsed="false">
      <c r="A450" s="13" t="s">
        <v>9</v>
      </c>
      <c r="B450" s="13" t="n">
        <v>1</v>
      </c>
      <c r="C450" s="13" t="s">
        <v>116</v>
      </c>
      <c r="D450" s="13" t="s">
        <v>16</v>
      </c>
      <c r="E450" s="13" t="s">
        <v>65</v>
      </c>
      <c r="F450" s="14" t="n">
        <v>1959</v>
      </c>
      <c r="G450" s="15" t="n">
        <v>26.8</v>
      </c>
    </row>
    <row r="451" customFormat="false" ht="15" hidden="false" customHeight="false" outlineLevel="0" collapsed="false">
      <c r="A451" s="13" t="s">
        <v>208</v>
      </c>
      <c r="B451" s="13" t="n">
        <v>2</v>
      </c>
      <c r="C451" s="13" t="s">
        <v>116</v>
      </c>
      <c r="D451" s="13" t="s">
        <v>16</v>
      </c>
      <c r="E451" s="13" t="s">
        <v>65</v>
      </c>
      <c r="F451" s="14" t="n">
        <v>2300</v>
      </c>
      <c r="G451" s="15" t="n">
        <v>31.46</v>
      </c>
    </row>
    <row r="452" customFormat="false" ht="15" hidden="false" customHeight="false" outlineLevel="0" collapsed="false">
      <c r="A452" s="13" t="s">
        <v>209</v>
      </c>
      <c r="B452" s="13" t="n">
        <v>3</v>
      </c>
      <c r="C452" s="13" t="s">
        <v>116</v>
      </c>
      <c r="D452" s="13" t="s">
        <v>16</v>
      </c>
      <c r="E452" s="13" t="s">
        <v>65</v>
      </c>
      <c r="F452" s="14" t="n">
        <v>2137</v>
      </c>
      <c r="G452" s="15" t="n">
        <v>29.23</v>
      </c>
    </row>
    <row r="453" customFormat="false" ht="15" hidden="false" customHeight="false" outlineLevel="0" collapsed="false">
      <c r="A453" s="13" t="s">
        <v>210</v>
      </c>
      <c r="B453" s="13" t="n">
        <v>4</v>
      </c>
      <c r="C453" s="13" t="s">
        <v>116</v>
      </c>
      <c r="D453" s="13" t="s">
        <v>16</v>
      </c>
      <c r="E453" s="13" t="s">
        <v>65</v>
      </c>
      <c r="F453" s="14" t="n">
        <v>2236</v>
      </c>
      <c r="G453" s="15" t="n">
        <v>30.59</v>
      </c>
    </row>
    <row r="454" customFormat="false" ht="15" hidden="false" customHeight="false" outlineLevel="0" collapsed="false">
      <c r="A454" s="13" t="s">
        <v>211</v>
      </c>
      <c r="B454" s="13" t="n">
        <v>5</v>
      </c>
      <c r="C454" s="13" t="s">
        <v>116</v>
      </c>
      <c r="D454" s="13" t="s">
        <v>16</v>
      </c>
      <c r="E454" s="13" t="s">
        <v>65</v>
      </c>
      <c r="F454" s="14" t="n">
        <v>2039</v>
      </c>
      <c r="G454" s="15" t="n">
        <v>27.89</v>
      </c>
    </row>
    <row r="455" customFormat="false" ht="15" hidden="false" customHeight="false" outlineLevel="0" collapsed="false">
      <c r="A455" s="13" t="s">
        <v>212</v>
      </c>
      <c r="B455" s="13" t="n">
        <v>6</v>
      </c>
      <c r="C455" s="13" t="s">
        <v>116</v>
      </c>
      <c r="D455" s="13" t="s">
        <v>16</v>
      </c>
      <c r="E455" s="13" t="s">
        <v>65</v>
      </c>
      <c r="F455" s="14" t="n">
        <v>2888</v>
      </c>
      <c r="G455" s="15" t="n">
        <v>39.51</v>
      </c>
    </row>
    <row r="456" customFormat="false" ht="15" hidden="false" customHeight="false" outlineLevel="0" collapsed="false">
      <c r="A456" s="13" t="s">
        <v>213</v>
      </c>
      <c r="B456" s="13" t="n">
        <v>7</v>
      </c>
      <c r="C456" s="13" t="s">
        <v>116</v>
      </c>
      <c r="D456" s="13" t="s">
        <v>16</v>
      </c>
      <c r="E456" s="13" t="s">
        <v>65</v>
      </c>
      <c r="F456" s="14" t="n">
        <v>2875</v>
      </c>
      <c r="G456" s="15" t="n">
        <v>39.33</v>
      </c>
    </row>
    <row r="457" customFormat="false" ht="15" hidden="false" customHeight="false" outlineLevel="0" collapsed="false">
      <c r="A457" s="13" t="s">
        <v>214</v>
      </c>
      <c r="B457" s="13" t="n">
        <v>8</v>
      </c>
      <c r="C457" s="13" t="s">
        <v>116</v>
      </c>
      <c r="D457" s="13" t="s">
        <v>16</v>
      </c>
      <c r="E457" s="13" t="s">
        <v>65</v>
      </c>
      <c r="F457" s="14" t="n">
        <v>2312</v>
      </c>
      <c r="G457" s="15" t="n">
        <v>31.63</v>
      </c>
    </row>
    <row r="458" customFormat="false" ht="15" hidden="false" customHeight="false" outlineLevel="0" collapsed="false">
      <c r="A458" s="13" t="s">
        <v>215</v>
      </c>
      <c r="B458" s="13" t="n">
        <v>9</v>
      </c>
      <c r="C458" s="13" t="s">
        <v>116</v>
      </c>
      <c r="D458" s="13" t="s">
        <v>16</v>
      </c>
      <c r="E458" s="13" t="s">
        <v>65</v>
      </c>
      <c r="F458" s="14" t="n">
        <v>1988</v>
      </c>
      <c r="G458" s="15" t="n">
        <v>27.2</v>
      </c>
    </row>
    <row r="459" customFormat="false" ht="15" hidden="false" customHeight="false" outlineLevel="0" collapsed="false">
      <c r="A459" s="13" t="s">
        <v>216</v>
      </c>
      <c r="B459" s="13" t="n">
        <v>10</v>
      </c>
      <c r="C459" s="13" t="s">
        <v>116</v>
      </c>
      <c r="D459" s="13" t="s">
        <v>16</v>
      </c>
      <c r="E459" s="13" t="s">
        <v>65</v>
      </c>
      <c r="F459" s="14" t="n">
        <v>2295</v>
      </c>
      <c r="G459" s="15" t="n">
        <v>31.4</v>
      </c>
    </row>
    <row r="460" customFormat="false" ht="15" hidden="false" customHeight="false" outlineLevel="0" collapsed="false">
      <c r="A460" s="13" t="s">
        <v>217</v>
      </c>
      <c r="B460" s="13" t="n">
        <v>11</v>
      </c>
      <c r="C460" s="13" t="s">
        <v>116</v>
      </c>
      <c r="D460" s="13" t="s">
        <v>16</v>
      </c>
      <c r="E460" s="13" t="s">
        <v>65</v>
      </c>
      <c r="F460" s="14" t="n">
        <v>2240</v>
      </c>
      <c r="G460" s="15" t="n">
        <v>30.64</v>
      </c>
    </row>
    <row r="461" customFormat="false" ht="15" hidden="false" customHeight="false" outlineLevel="0" collapsed="false">
      <c r="A461" s="13" t="s">
        <v>218</v>
      </c>
      <c r="B461" s="13" t="n">
        <v>12</v>
      </c>
      <c r="C461" s="13" t="s">
        <v>116</v>
      </c>
      <c r="D461" s="13" t="s">
        <v>16</v>
      </c>
      <c r="E461" s="13" t="s">
        <v>65</v>
      </c>
      <c r="F461" s="14" t="n">
        <v>1976</v>
      </c>
      <c r="G461" s="15" t="n">
        <v>27.03</v>
      </c>
    </row>
    <row r="462" customFormat="false" ht="15" hidden="false" customHeight="false" outlineLevel="0" collapsed="false">
      <c r="A462" s="13" t="s">
        <v>219</v>
      </c>
      <c r="B462" s="13" t="n">
        <v>13</v>
      </c>
      <c r="C462" s="13" t="s">
        <v>116</v>
      </c>
      <c r="D462" s="13" t="s">
        <v>16</v>
      </c>
      <c r="E462" s="13" t="s">
        <v>65</v>
      </c>
      <c r="F462" s="14" t="n">
        <v>2671</v>
      </c>
      <c r="G462" s="15" t="n">
        <v>36.54</v>
      </c>
    </row>
    <row r="463" customFormat="false" ht="15" hidden="false" customHeight="false" outlineLevel="0" collapsed="false">
      <c r="A463" s="13" t="s">
        <v>220</v>
      </c>
      <c r="B463" s="13" t="n">
        <v>14</v>
      </c>
      <c r="C463" s="13" t="s">
        <v>116</v>
      </c>
      <c r="D463" s="13" t="s">
        <v>16</v>
      </c>
      <c r="E463" s="13" t="s">
        <v>65</v>
      </c>
      <c r="F463" s="14" t="n">
        <v>2734</v>
      </c>
      <c r="G463" s="15" t="n">
        <v>37.4</v>
      </c>
    </row>
    <row r="464" customFormat="false" ht="15" hidden="false" customHeight="false" outlineLevel="0" collapsed="false">
      <c r="A464" s="13" t="s">
        <v>9</v>
      </c>
      <c r="B464" s="13" t="n">
        <v>1</v>
      </c>
      <c r="C464" s="13" t="s">
        <v>117</v>
      </c>
      <c r="D464" s="13" t="s">
        <v>16</v>
      </c>
      <c r="E464" s="13" t="s">
        <v>65</v>
      </c>
      <c r="F464" s="14" t="n">
        <v>6137</v>
      </c>
      <c r="G464" s="15" t="n">
        <v>89.29</v>
      </c>
    </row>
    <row r="465" customFormat="false" ht="15" hidden="false" customHeight="false" outlineLevel="0" collapsed="false">
      <c r="A465" s="13" t="s">
        <v>208</v>
      </c>
      <c r="B465" s="13" t="n">
        <v>2</v>
      </c>
      <c r="C465" s="13" t="s">
        <v>117</v>
      </c>
      <c r="D465" s="13" t="s">
        <v>16</v>
      </c>
      <c r="E465" s="13" t="s">
        <v>65</v>
      </c>
      <c r="F465" s="14" t="n">
        <v>6002</v>
      </c>
      <c r="G465" s="15" t="n">
        <v>87.33</v>
      </c>
    </row>
    <row r="466" customFormat="false" ht="15" hidden="false" customHeight="false" outlineLevel="0" collapsed="false">
      <c r="A466" s="13" t="s">
        <v>209</v>
      </c>
      <c r="B466" s="13" t="n">
        <v>3</v>
      </c>
      <c r="C466" s="13" t="s">
        <v>117</v>
      </c>
      <c r="D466" s="13" t="s">
        <v>16</v>
      </c>
      <c r="E466" s="13" t="s">
        <v>65</v>
      </c>
      <c r="F466" s="14" t="n">
        <v>6043</v>
      </c>
      <c r="G466" s="15" t="n">
        <v>87.93</v>
      </c>
    </row>
    <row r="467" customFormat="false" ht="15" hidden="false" customHeight="false" outlineLevel="0" collapsed="false">
      <c r="A467" s="13" t="s">
        <v>210</v>
      </c>
      <c r="B467" s="13" t="n">
        <v>4</v>
      </c>
      <c r="C467" s="13" t="s">
        <v>117</v>
      </c>
      <c r="D467" s="13" t="s">
        <v>16</v>
      </c>
      <c r="E467" s="13" t="s">
        <v>65</v>
      </c>
      <c r="F467" s="14" t="n">
        <v>6464</v>
      </c>
      <c r="G467" s="15" t="n">
        <v>94.05</v>
      </c>
    </row>
    <row r="468" customFormat="false" ht="15" hidden="false" customHeight="false" outlineLevel="0" collapsed="false">
      <c r="A468" s="13" t="s">
        <v>211</v>
      </c>
      <c r="B468" s="13" t="n">
        <v>5</v>
      </c>
      <c r="C468" s="13" t="s">
        <v>117</v>
      </c>
      <c r="D468" s="13" t="s">
        <v>16</v>
      </c>
      <c r="E468" s="13" t="s">
        <v>65</v>
      </c>
      <c r="F468" s="14" t="n">
        <v>6376</v>
      </c>
      <c r="G468" s="15" t="n">
        <v>92.77</v>
      </c>
    </row>
    <row r="469" customFormat="false" ht="15" hidden="false" customHeight="false" outlineLevel="0" collapsed="false">
      <c r="A469" s="13" t="s">
        <v>212</v>
      </c>
      <c r="B469" s="13" t="n">
        <v>6</v>
      </c>
      <c r="C469" s="13" t="s">
        <v>117</v>
      </c>
      <c r="D469" s="13" t="s">
        <v>16</v>
      </c>
      <c r="E469" s="13" t="s">
        <v>65</v>
      </c>
      <c r="F469" s="14" t="n">
        <v>6016</v>
      </c>
      <c r="G469" s="15" t="n">
        <v>87.53</v>
      </c>
    </row>
    <row r="470" customFormat="false" ht="15" hidden="false" customHeight="false" outlineLevel="0" collapsed="false">
      <c r="A470" s="13" t="s">
        <v>213</v>
      </c>
      <c r="B470" s="13" t="n">
        <v>7</v>
      </c>
      <c r="C470" s="13" t="s">
        <v>117</v>
      </c>
      <c r="D470" s="13" t="s">
        <v>16</v>
      </c>
      <c r="E470" s="13" t="s">
        <v>65</v>
      </c>
      <c r="F470" s="14" t="n">
        <v>7127</v>
      </c>
      <c r="G470" s="15" t="n">
        <v>103.7</v>
      </c>
    </row>
    <row r="471" customFormat="false" ht="15" hidden="false" customHeight="false" outlineLevel="0" collapsed="false">
      <c r="A471" s="13" t="s">
        <v>214</v>
      </c>
      <c r="B471" s="13" t="n">
        <v>8</v>
      </c>
      <c r="C471" s="13" t="s">
        <v>117</v>
      </c>
      <c r="D471" s="13" t="s">
        <v>16</v>
      </c>
      <c r="E471" s="13" t="s">
        <v>65</v>
      </c>
      <c r="F471" s="14" t="n">
        <v>5880</v>
      </c>
      <c r="G471" s="15" t="n">
        <v>85.55</v>
      </c>
    </row>
    <row r="472" customFormat="false" ht="15" hidden="false" customHeight="false" outlineLevel="0" collapsed="false">
      <c r="A472" s="13" t="s">
        <v>215</v>
      </c>
      <c r="B472" s="13" t="n">
        <v>9</v>
      </c>
      <c r="C472" s="13" t="s">
        <v>117</v>
      </c>
      <c r="D472" s="13" t="s">
        <v>16</v>
      </c>
      <c r="E472" s="13" t="s">
        <v>65</v>
      </c>
      <c r="F472" s="14" t="n">
        <v>5315</v>
      </c>
      <c r="G472" s="15" t="n">
        <v>77.33</v>
      </c>
    </row>
    <row r="473" customFormat="false" ht="15" hidden="false" customHeight="false" outlineLevel="0" collapsed="false">
      <c r="A473" s="13" t="s">
        <v>216</v>
      </c>
      <c r="B473" s="13" t="n">
        <v>10</v>
      </c>
      <c r="C473" s="13" t="s">
        <v>117</v>
      </c>
      <c r="D473" s="13" t="s">
        <v>16</v>
      </c>
      <c r="E473" s="13" t="s">
        <v>65</v>
      </c>
      <c r="F473" s="14" t="n">
        <v>5973</v>
      </c>
      <c r="G473" s="15" t="n">
        <v>86.91</v>
      </c>
    </row>
    <row r="474" customFormat="false" ht="15" hidden="false" customHeight="false" outlineLevel="0" collapsed="false">
      <c r="A474" s="13" t="s">
        <v>217</v>
      </c>
      <c r="B474" s="13" t="n">
        <v>11</v>
      </c>
      <c r="C474" s="13" t="s">
        <v>117</v>
      </c>
      <c r="D474" s="13" t="s">
        <v>16</v>
      </c>
      <c r="E474" s="13" t="s">
        <v>65</v>
      </c>
      <c r="F474" s="14" t="n">
        <v>6384</v>
      </c>
      <c r="G474" s="15" t="n">
        <v>92.89</v>
      </c>
    </row>
    <row r="475" customFormat="false" ht="15" hidden="false" customHeight="false" outlineLevel="0" collapsed="false">
      <c r="A475" s="13" t="s">
        <v>218</v>
      </c>
      <c r="B475" s="13" t="n">
        <v>12</v>
      </c>
      <c r="C475" s="13" t="s">
        <v>117</v>
      </c>
      <c r="D475" s="13" t="s">
        <v>16</v>
      </c>
      <c r="E475" s="13" t="s">
        <v>65</v>
      </c>
      <c r="F475" s="14" t="n">
        <v>5552</v>
      </c>
      <c r="G475" s="15" t="n">
        <v>80.78</v>
      </c>
    </row>
    <row r="476" customFormat="false" ht="15" hidden="false" customHeight="false" outlineLevel="0" collapsed="false">
      <c r="A476" s="13" t="s">
        <v>219</v>
      </c>
      <c r="B476" s="13" t="n">
        <v>13</v>
      </c>
      <c r="C476" s="13" t="s">
        <v>117</v>
      </c>
      <c r="D476" s="13" t="s">
        <v>16</v>
      </c>
      <c r="E476" s="13" t="s">
        <v>65</v>
      </c>
      <c r="F476" s="14" t="n">
        <v>7412</v>
      </c>
      <c r="G476" s="15" t="n">
        <v>107.84</v>
      </c>
    </row>
    <row r="477" customFormat="false" ht="15" hidden="false" customHeight="false" outlineLevel="0" collapsed="false">
      <c r="A477" s="13" t="s">
        <v>220</v>
      </c>
      <c r="B477" s="13" t="n">
        <v>14</v>
      </c>
      <c r="C477" s="13" t="s">
        <v>117</v>
      </c>
      <c r="D477" s="13" t="s">
        <v>16</v>
      </c>
      <c r="E477" s="13" t="s">
        <v>65</v>
      </c>
      <c r="F477" s="14" t="n">
        <v>6867</v>
      </c>
      <c r="G477" s="15" t="n">
        <v>99.91</v>
      </c>
    </row>
    <row r="478" customFormat="false" ht="15" hidden="false" customHeight="false" outlineLevel="0" collapsed="false">
      <c r="A478" s="13" t="s">
        <v>9</v>
      </c>
      <c r="B478" s="13" t="n">
        <v>1</v>
      </c>
      <c r="C478" s="13" t="s">
        <v>132</v>
      </c>
      <c r="D478" s="13" t="s">
        <v>16</v>
      </c>
      <c r="E478" s="13" t="s">
        <v>83</v>
      </c>
      <c r="F478" s="14" t="n">
        <v>3664</v>
      </c>
      <c r="G478" s="15" t="n">
        <v>36.6</v>
      </c>
    </row>
    <row r="479" customFormat="false" ht="15" hidden="false" customHeight="false" outlineLevel="0" collapsed="false">
      <c r="A479" s="13" t="s">
        <v>208</v>
      </c>
      <c r="B479" s="13" t="n">
        <v>2</v>
      </c>
      <c r="C479" s="13" t="s">
        <v>132</v>
      </c>
      <c r="D479" s="13" t="s">
        <v>16</v>
      </c>
      <c r="E479" s="13" t="s">
        <v>83</v>
      </c>
      <c r="F479" s="14" t="n">
        <v>4156</v>
      </c>
      <c r="G479" s="15" t="n">
        <v>41.52</v>
      </c>
    </row>
    <row r="480" customFormat="false" ht="15" hidden="false" customHeight="false" outlineLevel="0" collapsed="false">
      <c r="A480" s="13" t="s">
        <v>209</v>
      </c>
      <c r="B480" s="13" t="n">
        <v>3</v>
      </c>
      <c r="C480" s="13" t="s">
        <v>132</v>
      </c>
      <c r="D480" s="13" t="s">
        <v>16</v>
      </c>
      <c r="E480" s="13" t="s">
        <v>83</v>
      </c>
      <c r="F480" s="14" t="n">
        <v>3693</v>
      </c>
      <c r="G480" s="15" t="n">
        <v>36.89</v>
      </c>
    </row>
    <row r="481" customFormat="false" ht="15" hidden="false" customHeight="false" outlineLevel="0" collapsed="false">
      <c r="A481" s="13" t="s">
        <v>210</v>
      </c>
      <c r="B481" s="13" t="n">
        <v>4</v>
      </c>
      <c r="C481" s="13" t="s">
        <v>132</v>
      </c>
      <c r="D481" s="13" t="s">
        <v>16</v>
      </c>
      <c r="E481" s="13" t="s">
        <v>83</v>
      </c>
      <c r="F481" s="14" t="n">
        <v>3923</v>
      </c>
      <c r="G481" s="15" t="n">
        <v>39.19</v>
      </c>
    </row>
    <row r="482" customFormat="false" ht="15" hidden="false" customHeight="false" outlineLevel="0" collapsed="false">
      <c r="A482" s="13" t="s">
        <v>211</v>
      </c>
      <c r="B482" s="13" t="n">
        <v>5</v>
      </c>
      <c r="C482" s="13" t="s">
        <v>132</v>
      </c>
      <c r="D482" s="13" t="s">
        <v>16</v>
      </c>
      <c r="E482" s="13" t="s">
        <v>83</v>
      </c>
      <c r="F482" s="14" t="n">
        <v>3389</v>
      </c>
      <c r="G482" s="15" t="n">
        <v>33.86</v>
      </c>
    </row>
    <row r="483" customFormat="false" ht="15" hidden="false" customHeight="false" outlineLevel="0" collapsed="false">
      <c r="A483" s="13" t="s">
        <v>212</v>
      </c>
      <c r="B483" s="13" t="n">
        <v>6</v>
      </c>
      <c r="C483" s="13" t="s">
        <v>132</v>
      </c>
      <c r="D483" s="13" t="s">
        <v>16</v>
      </c>
      <c r="E483" s="13" t="s">
        <v>83</v>
      </c>
      <c r="F483" s="14" t="n">
        <v>5192</v>
      </c>
      <c r="G483" s="15" t="n">
        <v>51.87</v>
      </c>
    </row>
    <row r="484" customFormat="false" ht="15" hidden="false" customHeight="false" outlineLevel="0" collapsed="false">
      <c r="A484" s="13" t="s">
        <v>213</v>
      </c>
      <c r="B484" s="13" t="n">
        <v>7</v>
      </c>
      <c r="C484" s="13" t="s">
        <v>132</v>
      </c>
      <c r="D484" s="13" t="s">
        <v>16</v>
      </c>
      <c r="E484" s="13" t="s">
        <v>83</v>
      </c>
      <c r="F484" s="14" t="n">
        <v>4839</v>
      </c>
      <c r="G484" s="15" t="n">
        <v>48.34</v>
      </c>
    </row>
    <row r="485" customFormat="false" ht="15" hidden="false" customHeight="false" outlineLevel="0" collapsed="false">
      <c r="A485" s="13" t="s">
        <v>214</v>
      </c>
      <c r="B485" s="13" t="n">
        <v>8</v>
      </c>
      <c r="C485" s="13" t="s">
        <v>132</v>
      </c>
      <c r="D485" s="13" t="s">
        <v>16</v>
      </c>
      <c r="E485" s="13" t="s">
        <v>83</v>
      </c>
      <c r="F485" s="14" t="n">
        <v>3776</v>
      </c>
      <c r="G485" s="15" t="n">
        <v>37.72</v>
      </c>
    </row>
    <row r="486" customFormat="false" ht="15" hidden="false" customHeight="false" outlineLevel="0" collapsed="false">
      <c r="A486" s="13" t="s">
        <v>215</v>
      </c>
      <c r="B486" s="13" t="n">
        <v>9</v>
      </c>
      <c r="C486" s="13" t="s">
        <v>132</v>
      </c>
      <c r="D486" s="13" t="s">
        <v>16</v>
      </c>
      <c r="E486" s="13" t="s">
        <v>83</v>
      </c>
      <c r="F486" s="14" t="n">
        <v>3949</v>
      </c>
      <c r="G486" s="15" t="n">
        <v>39.45</v>
      </c>
    </row>
    <row r="487" customFormat="false" ht="15" hidden="false" customHeight="false" outlineLevel="0" collapsed="false">
      <c r="A487" s="13" t="s">
        <v>216</v>
      </c>
      <c r="B487" s="13" t="n">
        <v>10</v>
      </c>
      <c r="C487" s="13" t="s">
        <v>132</v>
      </c>
      <c r="D487" s="13" t="s">
        <v>16</v>
      </c>
      <c r="E487" s="13" t="s">
        <v>83</v>
      </c>
      <c r="F487" s="14" t="n">
        <v>3495</v>
      </c>
      <c r="G487" s="15" t="n">
        <v>34.92</v>
      </c>
    </row>
    <row r="488" customFormat="false" ht="15" hidden="false" customHeight="false" outlineLevel="0" collapsed="false">
      <c r="A488" s="13" t="s">
        <v>217</v>
      </c>
      <c r="B488" s="13" t="n">
        <v>11</v>
      </c>
      <c r="C488" s="13" t="s">
        <v>132</v>
      </c>
      <c r="D488" s="13" t="s">
        <v>16</v>
      </c>
      <c r="E488" s="13" t="s">
        <v>83</v>
      </c>
      <c r="F488" s="14" t="n">
        <v>4088</v>
      </c>
      <c r="G488" s="15" t="n">
        <v>40.84</v>
      </c>
    </row>
    <row r="489" customFormat="false" ht="15" hidden="false" customHeight="false" outlineLevel="0" collapsed="false">
      <c r="A489" s="13" t="s">
        <v>218</v>
      </c>
      <c r="B489" s="13" t="n">
        <v>12</v>
      </c>
      <c r="C489" s="13" t="s">
        <v>132</v>
      </c>
      <c r="D489" s="13" t="s">
        <v>16</v>
      </c>
      <c r="E489" s="13" t="s">
        <v>83</v>
      </c>
      <c r="F489" s="14" t="n">
        <v>3743</v>
      </c>
      <c r="G489" s="15" t="n">
        <v>37.39</v>
      </c>
    </row>
    <row r="490" customFormat="false" ht="15" hidden="false" customHeight="false" outlineLevel="0" collapsed="false">
      <c r="A490" s="13" t="s">
        <v>219</v>
      </c>
      <c r="B490" s="13" t="n">
        <v>13</v>
      </c>
      <c r="C490" s="13" t="s">
        <v>132</v>
      </c>
      <c r="D490" s="13" t="s">
        <v>16</v>
      </c>
      <c r="E490" s="13" t="s">
        <v>83</v>
      </c>
      <c r="F490" s="14" t="n">
        <v>4613</v>
      </c>
      <c r="G490" s="15" t="n">
        <v>46.08</v>
      </c>
    </row>
    <row r="491" customFormat="false" ht="15" hidden="false" customHeight="false" outlineLevel="0" collapsed="false">
      <c r="A491" s="13" t="s">
        <v>220</v>
      </c>
      <c r="B491" s="13" t="n">
        <v>14</v>
      </c>
      <c r="C491" s="13" t="s">
        <v>132</v>
      </c>
      <c r="D491" s="13" t="s">
        <v>16</v>
      </c>
      <c r="E491" s="13" t="s">
        <v>83</v>
      </c>
      <c r="F491" s="14" t="n">
        <v>4533</v>
      </c>
      <c r="G491" s="15" t="n">
        <v>45.28</v>
      </c>
    </row>
    <row r="492" customFormat="false" ht="15" hidden="false" customHeight="false" outlineLevel="0" collapsed="false">
      <c r="A492" s="13" t="s">
        <v>9</v>
      </c>
      <c r="B492" s="13" t="n">
        <v>1</v>
      </c>
      <c r="C492" s="13" t="s">
        <v>107</v>
      </c>
      <c r="D492" s="13" t="s">
        <v>16</v>
      </c>
      <c r="E492" s="13" t="s">
        <v>55</v>
      </c>
      <c r="F492" s="14" t="n">
        <v>2843</v>
      </c>
      <c r="G492" s="15" t="n">
        <v>28.29</v>
      </c>
    </row>
    <row r="493" customFormat="false" ht="15" hidden="false" customHeight="false" outlineLevel="0" collapsed="false">
      <c r="A493" s="13" t="s">
        <v>208</v>
      </c>
      <c r="B493" s="13" t="n">
        <v>2</v>
      </c>
      <c r="C493" s="13" t="s">
        <v>107</v>
      </c>
      <c r="D493" s="13" t="s">
        <v>16</v>
      </c>
      <c r="E493" s="13" t="s">
        <v>55</v>
      </c>
      <c r="F493" s="14" t="n">
        <v>3068</v>
      </c>
      <c r="G493" s="15" t="n">
        <v>30.53</v>
      </c>
    </row>
    <row r="494" customFormat="false" ht="15" hidden="false" customHeight="false" outlineLevel="0" collapsed="false">
      <c r="A494" s="13" t="s">
        <v>209</v>
      </c>
      <c r="B494" s="13" t="n">
        <v>3</v>
      </c>
      <c r="C494" s="13" t="s">
        <v>107</v>
      </c>
      <c r="D494" s="13" t="s">
        <v>16</v>
      </c>
      <c r="E494" s="13" t="s">
        <v>55</v>
      </c>
      <c r="F494" s="14" t="n">
        <v>2991</v>
      </c>
      <c r="G494" s="15" t="n">
        <v>29.76</v>
      </c>
    </row>
    <row r="495" customFormat="false" ht="15" hidden="false" customHeight="false" outlineLevel="0" collapsed="false">
      <c r="A495" s="13" t="s">
        <v>210</v>
      </c>
      <c r="B495" s="13" t="n">
        <v>4</v>
      </c>
      <c r="C495" s="13" t="s">
        <v>107</v>
      </c>
      <c r="D495" s="13" t="s">
        <v>16</v>
      </c>
      <c r="E495" s="13" t="s">
        <v>55</v>
      </c>
      <c r="F495" s="14" t="n">
        <v>3061</v>
      </c>
      <c r="G495" s="15" t="n">
        <v>30.46</v>
      </c>
    </row>
    <row r="496" customFormat="false" ht="15" hidden="false" customHeight="false" outlineLevel="0" collapsed="false">
      <c r="A496" s="13" t="s">
        <v>211</v>
      </c>
      <c r="B496" s="13" t="n">
        <v>5</v>
      </c>
      <c r="C496" s="13" t="s">
        <v>107</v>
      </c>
      <c r="D496" s="13" t="s">
        <v>16</v>
      </c>
      <c r="E496" s="13" t="s">
        <v>55</v>
      </c>
      <c r="F496" s="14" t="n">
        <v>2944</v>
      </c>
      <c r="G496" s="15" t="n">
        <v>29.29</v>
      </c>
    </row>
    <row r="497" customFormat="false" ht="15" hidden="false" customHeight="false" outlineLevel="0" collapsed="false">
      <c r="A497" s="13" t="s">
        <v>212</v>
      </c>
      <c r="B497" s="13" t="n">
        <v>6</v>
      </c>
      <c r="C497" s="13" t="s">
        <v>107</v>
      </c>
      <c r="D497" s="13" t="s">
        <v>16</v>
      </c>
      <c r="E497" s="13" t="s">
        <v>55</v>
      </c>
      <c r="F497" s="14" t="n">
        <v>3715</v>
      </c>
      <c r="G497" s="15" t="n">
        <v>36.96</v>
      </c>
    </row>
    <row r="498" customFormat="false" ht="15" hidden="false" customHeight="false" outlineLevel="0" collapsed="false">
      <c r="A498" s="13" t="s">
        <v>213</v>
      </c>
      <c r="B498" s="13" t="n">
        <v>7</v>
      </c>
      <c r="C498" s="13" t="s">
        <v>107</v>
      </c>
      <c r="D498" s="13" t="s">
        <v>16</v>
      </c>
      <c r="E498" s="13" t="s">
        <v>55</v>
      </c>
      <c r="F498" s="14" t="n">
        <v>3513</v>
      </c>
      <c r="G498" s="15" t="n">
        <v>34.95</v>
      </c>
    </row>
    <row r="499" customFormat="false" ht="15" hidden="false" customHeight="false" outlineLevel="0" collapsed="false">
      <c r="A499" s="13" t="s">
        <v>214</v>
      </c>
      <c r="B499" s="13" t="n">
        <v>8</v>
      </c>
      <c r="C499" s="13" t="s">
        <v>107</v>
      </c>
      <c r="D499" s="13" t="s">
        <v>16</v>
      </c>
      <c r="E499" s="13" t="s">
        <v>55</v>
      </c>
      <c r="F499" s="14" t="n">
        <v>3340</v>
      </c>
      <c r="G499" s="15" t="n">
        <v>33.23</v>
      </c>
    </row>
    <row r="500" customFormat="false" ht="15" hidden="false" customHeight="false" outlineLevel="0" collapsed="false">
      <c r="A500" s="13" t="s">
        <v>215</v>
      </c>
      <c r="B500" s="13" t="n">
        <v>9</v>
      </c>
      <c r="C500" s="13" t="s">
        <v>107</v>
      </c>
      <c r="D500" s="13" t="s">
        <v>16</v>
      </c>
      <c r="E500" s="13" t="s">
        <v>55</v>
      </c>
      <c r="F500" s="14" t="n">
        <v>2668</v>
      </c>
      <c r="G500" s="15" t="n">
        <v>26.55</v>
      </c>
    </row>
    <row r="501" customFormat="false" ht="15" hidden="false" customHeight="false" outlineLevel="0" collapsed="false">
      <c r="A501" s="13" t="s">
        <v>216</v>
      </c>
      <c r="B501" s="13" t="n">
        <v>10</v>
      </c>
      <c r="C501" s="13" t="s">
        <v>107</v>
      </c>
      <c r="D501" s="13" t="s">
        <v>16</v>
      </c>
      <c r="E501" s="13" t="s">
        <v>55</v>
      </c>
      <c r="F501" s="14" t="n">
        <v>3168</v>
      </c>
      <c r="G501" s="15" t="n">
        <v>31.52</v>
      </c>
    </row>
    <row r="502" customFormat="false" ht="15" hidden="false" customHeight="false" outlineLevel="0" collapsed="false">
      <c r="A502" s="13" t="s">
        <v>217</v>
      </c>
      <c r="B502" s="13" t="n">
        <v>11</v>
      </c>
      <c r="C502" s="13" t="s">
        <v>107</v>
      </c>
      <c r="D502" s="13" t="s">
        <v>16</v>
      </c>
      <c r="E502" s="13" t="s">
        <v>55</v>
      </c>
      <c r="F502" s="14" t="n">
        <v>3187</v>
      </c>
      <c r="G502" s="15" t="n">
        <v>31.71</v>
      </c>
    </row>
    <row r="503" customFormat="false" ht="15" hidden="false" customHeight="false" outlineLevel="0" collapsed="false">
      <c r="A503" s="13" t="s">
        <v>218</v>
      </c>
      <c r="B503" s="13" t="n">
        <v>12</v>
      </c>
      <c r="C503" s="13" t="s">
        <v>107</v>
      </c>
      <c r="D503" s="13" t="s">
        <v>16</v>
      </c>
      <c r="E503" s="13" t="s">
        <v>55</v>
      </c>
      <c r="F503" s="14" t="n">
        <v>2795</v>
      </c>
      <c r="G503" s="15" t="n">
        <v>27.81</v>
      </c>
    </row>
    <row r="504" customFormat="false" ht="15" hidden="false" customHeight="false" outlineLevel="0" collapsed="false">
      <c r="A504" s="13" t="s">
        <v>219</v>
      </c>
      <c r="B504" s="13" t="n">
        <v>13</v>
      </c>
      <c r="C504" s="13" t="s">
        <v>107</v>
      </c>
      <c r="D504" s="13" t="s">
        <v>16</v>
      </c>
      <c r="E504" s="13" t="s">
        <v>55</v>
      </c>
      <c r="F504" s="14" t="n">
        <v>4086</v>
      </c>
      <c r="G504" s="15" t="n">
        <v>40.66</v>
      </c>
    </row>
    <row r="505" customFormat="false" ht="15" hidden="false" customHeight="false" outlineLevel="0" collapsed="false">
      <c r="A505" s="13" t="s">
        <v>220</v>
      </c>
      <c r="B505" s="13" t="n">
        <v>14</v>
      </c>
      <c r="C505" s="13" t="s">
        <v>107</v>
      </c>
      <c r="D505" s="13" t="s">
        <v>16</v>
      </c>
      <c r="E505" s="13" t="s">
        <v>55</v>
      </c>
      <c r="F505" s="14" t="n">
        <v>3819</v>
      </c>
      <c r="G505" s="15" t="n">
        <v>38</v>
      </c>
    </row>
    <row r="506" customFormat="false" ht="15" hidden="false" customHeight="false" outlineLevel="0" collapsed="false">
      <c r="A506" s="13" t="s">
        <v>9</v>
      </c>
      <c r="B506" s="13" t="n">
        <v>1</v>
      </c>
      <c r="C506" s="13" t="s">
        <v>141</v>
      </c>
      <c r="D506" s="13" t="s">
        <v>16</v>
      </c>
      <c r="E506" s="13" t="s">
        <v>92</v>
      </c>
      <c r="F506" s="14" t="n">
        <v>5308</v>
      </c>
      <c r="G506" s="15" t="n">
        <v>66.51</v>
      </c>
    </row>
    <row r="507" customFormat="false" ht="15" hidden="false" customHeight="false" outlineLevel="0" collapsed="false">
      <c r="A507" s="13" t="s">
        <v>208</v>
      </c>
      <c r="B507" s="13" t="n">
        <v>2</v>
      </c>
      <c r="C507" s="13" t="s">
        <v>141</v>
      </c>
      <c r="D507" s="13" t="s">
        <v>16</v>
      </c>
      <c r="E507" s="13" t="s">
        <v>92</v>
      </c>
      <c r="F507" s="14" t="n">
        <v>5024</v>
      </c>
      <c r="G507" s="15" t="n">
        <v>62.95</v>
      </c>
    </row>
    <row r="508" customFormat="false" ht="15" hidden="false" customHeight="false" outlineLevel="0" collapsed="false">
      <c r="A508" s="13" t="s">
        <v>209</v>
      </c>
      <c r="B508" s="13" t="n">
        <v>3</v>
      </c>
      <c r="C508" s="13" t="s">
        <v>141</v>
      </c>
      <c r="D508" s="13" t="s">
        <v>16</v>
      </c>
      <c r="E508" s="13" t="s">
        <v>92</v>
      </c>
      <c r="F508" s="14" t="n">
        <v>4950</v>
      </c>
      <c r="G508" s="15" t="n">
        <v>62.02</v>
      </c>
    </row>
    <row r="509" customFormat="false" ht="15" hidden="false" customHeight="false" outlineLevel="0" collapsed="false">
      <c r="A509" s="13" t="s">
        <v>210</v>
      </c>
      <c r="B509" s="13" t="n">
        <v>4</v>
      </c>
      <c r="C509" s="13" t="s">
        <v>141</v>
      </c>
      <c r="D509" s="13" t="s">
        <v>16</v>
      </c>
      <c r="E509" s="13" t="s">
        <v>92</v>
      </c>
      <c r="F509" s="14" t="n">
        <v>4953</v>
      </c>
      <c r="G509" s="15" t="n">
        <v>62.06</v>
      </c>
    </row>
    <row r="510" customFormat="false" ht="15" hidden="false" customHeight="false" outlineLevel="0" collapsed="false">
      <c r="A510" s="13" t="s">
        <v>211</v>
      </c>
      <c r="B510" s="13" t="n">
        <v>5</v>
      </c>
      <c r="C510" s="13" t="s">
        <v>141</v>
      </c>
      <c r="D510" s="13" t="s">
        <v>16</v>
      </c>
      <c r="E510" s="13" t="s">
        <v>92</v>
      </c>
      <c r="F510" s="14" t="n">
        <v>5133</v>
      </c>
      <c r="G510" s="15" t="n">
        <v>64.32</v>
      </c>
    </row>
    <row r="511" customFormat="false" ht="15" hidden="false" customHeight="false" outlineLevel="0" collapsed="false">
      <c r="A511" s="13" t="s">
        <v>212</v>
      </c>
      <c r="B511" s="13" t="n">
        <v>6</v>
      </c>
      <c r="C511" s="13" t="s">
        <v>141</v>
      </c>
      <c r="D511" s="13" t="s">
        <v>16</v>
      </c>
      <c r="E511" s="13" t="s">
        <v>92</v>
      </c>
      <c r="F511" s="14" t="n">
        <v>6652</v>
      </c>
      <c r="G511" s="15" t="n">
        <v>83.35</v>
      </c>
    </row>
    <row r="512" customFormat="false" ht="15" hidden="false" customHeight="false" outlineLevel="0" collapsed="false">
      <c r="A512" s="13" t="s">
        <v>213</v>
      </c>
      <c r="B512" s="13" t="n">
        <v>7</v>
      </c>
      <c r="C512" s="13" t="s">
        <v>141</v>
      </c>
      <c r="D512" s="13" t="s">
        <v>16</v>
      </c>
      <c r="E512" s="13" t="s">
        <v>92</v>
      </c>
      <c r="F512" s="14" t="n">
        <v>6203</v>
      </c>
      <c r="G512" s="15" t="n">
        <v>77.72</v>
      </c>
    </row>
    <row r="513" customFormat="false" ht="15" hidden="false" customHeight="false" outlineLevel="0" collapsed="false">
      <c r="A513" s="13" t="s">
        <v>214</v>
      </c>
      <c r="B513" s="13" t="n">
        <v>8</v>
      </c>
      <c r="C513" s="13" t="s">
        <v>141</v>
      </c>
      <c r="D513" s="13" t="s">
        <v>16</v>
      </c>
      <c r="E513" s="13" t="s">
        <v>92</v>
      </c>
      <c r="F513" s="14" t="n">
        <v>4741</v>
      </c>
      <c r="G513" s="15" t="n">
        <v>59.4</v>
      </c>
    </row>
    <row r="514" customFormat="false" ht="15" hidden="false" customHeight="false" outlineLevel="0" collapsed="false">
      <c r="A514" s="13" t="s">
        <v>215</v>
      </c>
      <c r="B514" s="13" t="n">
        <v>9</v>
      </c>
      <c r="C514" s="13" t="s">
        <v>141</v>
      </c>
      <c r="D514" s="13" t="s">
        <v>16</v>
      </c>
      <c r="E514" s="13" t="s">
        <v>92</v>
      </c>
      <c r="F514" s="14" t="n">
        <v>5264</v>
      </c>
      <c r="G514" s="15" t="n">
        <v>65.96</v>
      </c>
    </row>
    <row r="515" customFormat="false" ht="15" hidden="false" customHeight="false" outlineLevel="0" collapsed="false">
      <c r="A515" s="13" t="s">
        <v>216</v>
      </c>
      <c r="B515" s="13" t="n">
        <v>10</v>
      </c>
      <c r="C515" s="13" t="s">
        <v>141</v>
      </c>
      <c r="D515" s="13" t="s">
        <v>16</v>
      </c>
      <c r="E515" s="13" t="s">
        <v>92</v>
      </c>
      <c r="F515" s="14" t="n">
        <v>5293</v>
      </c>
      <c r="G515" s="15" t="n">
        <v>66.32</v>
      </c>
    </row>
    <row r="516" customFormat="false" ht="15" hidden="false" customHeight="false" outlineLevel="0" collapsed="false">
      <c r="A516" s="13" t="s">
        <v>217</v>
      </c>
      <c r="B516" s="13" t="n">
        <v>11</v>
      </c>
      <c r="C516" s="13" t="s">
        <v>141</v>
      </c>
      <c r="D516" s="13" t="s">
        <v>16</v>
      </c>
      <c r="E516" s="13" t="s">
        <v>92</v>
      </c>
      <c r="F516" s="14" t="n">
        <v>5213</v>
      </c>
      <c r="G516" s="15" t="n">
        <v>65.32</v>
      </c>
    </row>
    <row r="517" customFormat="false" ht="15" hidden="false" customHeight="false" outlineLevel="0" collapsed="false">
      <c r="A517" s="13" t="s">
        <v>218</v>
      </c>
      <c r="B517" s="13" t="n">
        <v>12</v>
      </c>
      <c r="C517" s="13" t="s">
        <v>141</v>
      </c>
      <c r="D517" s="13" t="s">
        <v>16</v>
      </c>
      <c r="E517" s="13" t="s">
        <v>92</v>
      </c>
      <c r="F517" s="14" t="n">
        <v>5240</v>
      </c>
      <c r="G517" s="15" t="n">
        <v>65.66</v>
      </c>
    </row>
    <row r="518" customFormat="false" ht="15" hidden="false" customHeight="false" outlineLevel="0" collapsed="false">
      <c r="A518" s="13" t="s">
        <v>219</v>
      </c>
      <c r="B518" s="13" t="n">
        <v>13</v>
      </c>
      <c r="C518" s="13" t="s">
        <v>141</v>
      </c>
      <c r="D518" s="13" t="s">
        <v>16</v>
      </c>
      <c r="E518" s="13" t="s">
        <v>92</v>
      </c>
      <c r="F518" s="14" t="n">
        <v>6036</v>
      </c>
      <c r="G518" s="15" t="n">
        <v>75.63</v>
      </c>
    </row>
    <row r="519" customFormat="false" ht="15" hidden="false" customHeight="false" outlineLevel="0" collapsed="false">
      <c r="A519" s="13" t="s">
        <v>220</v>
      </c>
      <c r="B519" s="13" t="n">
        <v>14</v>
      </c>
      <c r="C519" s="13" t="s">
        <v>141</v>
      </c>
      <c r="D519" s="13" t="s">
        <v>16</v>
      </c>
      <c r="E519" s="13" t="s">
        <v>92</v>
      </c>
      <c r="F519" s="14" t="n">
        <v>5794</v>
      </c>
      <c r="G519" s="15" t="n">
        <v>72.6</v>
      </c>
    </row>
    <row r="520" customFormat="false" ht="15" hidden="false" customHeight="false" outlineLevel="0" collapsed="false">
      <c r="A520" s="13" t="s">
        <v>9</v>
      </c>
      <c r="B520" s="13" t="n">
        <v>1</v>
      </c>
      <c r="C520" s="13" t="s">
        <v>135</v>
      </c>
      <c r="D520" s="13" t="s">
        <v>16</v>
      </c>
      <c r="E520" s="13" t="s">
        <v>83</v>
      </c>
      <c r="F520" s="14" t="n">
        <v>4828</v>
      </c>
      <c r="G520" s="15" t="n">
        <v>45.19</v>
      </c>
    </row>
    <row r="521" customFormat="false" ht="15" hidden="false" customHeight="false" outlineLevel="0" collapsed="false">
      <c r="A521" s="13" t="s">
        <v>208</v>
      </c>
      <c r="B521" s="13" t="n">
        <v>2</v>
      </c>
      <c r="C521" s="13" t="s">
        <v>135</v>
      </c>
      <c r="D521" s="13" t="s">
        <v>16</v>
      </c>
      <c r="E521" s="13" t="s">
        <v>83</v>
      </c>
      <c r="F521" s="14" t="n">
        <v>4593</v>
      </c>
      <c r="G521" s="15" t="n">
        <v>42.99</v>
      </c>
    </row>
    <row r="522" customFormat="false" ht="15" hidden="false" customHeight="false" outlineLevel="0" collapsed="false">
      <c r="A522" s="13" t="s">
        <v>209</v>
      </c>
      <c r="B522" s="13" t="n">
        <v>3</v>
      </c>
      <c r="C522" s="13" t="s">
        <v>135</v>
      </c>
      <c r="D522" s="13" t="s">
        <v>16</v>
      </c>
      <c r="E522" s="13" t="s">
        <v>83</v>
      </c>
      <c r="F522" s="14" t="n">
        <v>5166</v>
      </c>
      <c r="G522" s="15" t="n">
        <v>48.35</v>
      </c>
    </row>
    <row r="523" customFormat="false" ht="15" hidden="false" customHeight="false" outlineLevel="0" collapsed="false">
      <c r="A523" s="13" t="s">
        <v>210</v>
      </c>
      <c r="B523" s="13" t="n">
        <v>4</v>
      </c>
      <c r="C523" s="13" t="s">
        <v>135</v>
      </c>
      <c r="D523" s="13" t="s">
        <v>16</v>
      </c>
      <c r="E523" s="13" t="s">
        <v>83</v>
      </c>
      <c r="F523" s="14" t="n">
        <v>5068</v>
      </c>
      <c r="G523" s="15" t="n">
        <v>47.44</v>
      </c>
    </row>
    <row r="524" customFormat="false" ht="15" hidden="false" customHeight="false" outlineLevel="0" collapsed="false">
      <c r="A524" s="13" t="s">
        <v>211</v>
      </c>
      <c r="B524" s="13" t="n">
        <v>5</v>
      </c>
      <c r="C524" s="13" t="s">
        <v>135</v>
      </c>
      <c r="D524" s="13" t="s">
        <v>16</v>
      </c>
      <c r="E524" s="13" t="s">
        <v>83</v>
      </c>
      <c r="F524" s="14" t="n">
        <v>4959</v>
      </c>
      <c r="G524" s="15" t="n">
        <v>46.42</v>
      </c>
    </row>
    <row r="525" customFormat="false" ht="15" hidden="false" customHeight="false" outlineLevel="0" collapsed="false">
      <c r="A525" s="13" t="s">
        <v>212</v>
      </c>
      <c r="B525" s="13" t="n">
        <v>6</v>
      </c>
      <c r="C525" s="13" t="s">
        <v>135</v>
      </c>
      <c r="D525" s="13" t="s">
        <v>16</v>
      </c>
      <c r="E525" s="13" t="s">
        <v>83</v>
      </c>
      <c r="F525" s="14" t="n">
        <v>5126</v>
      </c>
      <c r="G525" s="15" t="n">
        <v>47.98</v>
      </c>
    </row>
    <row r="526" customFormat="false" ht="15" hidden="false" customHeight="false" outlineLevel="0" collapsed="false">
      <c r="A526" s="13" t="s">
        <v>213</v>
      </c>
      <c r="B526" s="13" t="n">
        <v>7</v>
      </c>
      <c r="C526" s="13" t="s">
        <v>135</v>
      </c>
      <c r="D526" s="13" t="s">
        <v>16</v>
      </c>
      <c r="E526" s="13" t="s">
        <v>83</v>
      </c>
      <c r="F526" s="14" t="n">
        <v>5765</v>
      </c>
      <c r="G526" s="15" t="n">
        <v>53.96</v>
      </c>
    </row>
    <row r="527" customFormat="false" ht="15" hidden="false" customHeight="false" outlineLevel="0" collapsed="false">
      <c r="A527" s="13" t="s">
        <v>214</v>
      </c>
      <c r="B527" s="13" t="n">
        <v>8</v>
      </c>
      <c r="C527" s="13" t="s">
        <v>135</v>
      </c>
      <c r="D527" s="13" t="s">
        <v>16</v>
      </c>
      <c r="E527" s="13" t="s">
        <v>83</v>
      </c>
      <c r="F527" s="14" t="n">
        <v>5436</v>
      </c>
      <c r="G527" s="15" t="n">
        <v>50.88</v>
      </c>
    </row>
    <row r="528" customFormat="false" ht="15" hidden="false" customHeight="false" outlineLevel="0" collapsed="false">
      <c r="A528" s="13" t="s">
        <v>215</v>
      </c>
      <c r="B528" s="13" t="n">
        <v>9</v>
      </c>
      <c r="C528" s="13" t="s">
        <v>135</v>
      </c>
      <c r="D528" s="13" t="s">
        <v>16</v>
      </c>
      <c r="E528" s="13" t="s">
        <v>83</v>
      </c>
      <c r="F528" s="14" t="n">
        <v>4890</v>
      </c>
      <c r="G528" s="15" t="n">
        <v>45.77</v>
      </c>
    </row>
    <row r="529" customFormat="false" ht="15" hidden="false" customHeight="false" outlineLevel="0" collapsed="false">
      <c r="A529" s="13" t="s">
        <v>216</v>
      </c>
      <c r="B529" s="13" t="n">
        <v>10</v>
      </c>
      <c r="C529" s="13" t="s">
        <v>135</v>
      </c>
      <c r="D529" s="13" t="s">
        <v>16</v>
      </c>
      <c r="E529" s="13" t="s">
        <v>83</v>
      </c>
      <c r="F529" s="14" t="n">
        <v>5203</v>
      </c>
      <c r="G529" s="15" t="n">
        <v>48.7</v>
      </c>
    </row>
    <row r="530" customFormat="false" ht="15" hidden="false" customHeight="false" outlineLevel="0" collapsed="false">
      <c r="A530" s="13" t="s">
        <v>217</v>
      </c>
      <c r="B530" s="13" t="n">
        <v>11</v>
      </c>
      <c r="C530" s="13" t="s">
        <v>135</v>
      </c>
      <c r="D530" s="13" t="s">
        <v>16</v>
      </c>
      <c r="E530" s="13" t="s">
        <v>83</v>
      </c>
      <c r="F530" s="14" t="n">
        <v>4668</v>
      </c>
      <c r="G530" s="15" t="n">
        <v>43.69</v>
      </c>
    </row>
    <row r="531" customFormat="false" ht="15" hidden="false" customHeight="false" outlineLevel="0" collapsed="false">
      <c r="A531" s="13" t="s">
        <v>218</v>
      </c>
      <c r="B531" s="13" t="n">
        <v>12</v>
      </c>
      <c r="C531" s="13" t="s">
        <v>135</v>
      </c>
      <c r="D531" s="13" t="s">
        <v>16</v>
      </c>
      <c r="E531" s="13" t="s">
        <v>83</v>
      </c>
      <c r="F531" s="14" t="n">
        <v>5533</v>
      </c>
      <c r="G531" s="15" t="n">
        <v>51.79</v>
      </c>
    </row>
    <row r="532" customFormat="false" ht="15" hidden="false" customHeight="false" outlineLevel="0" collapsed="false">
      <c r="A532" s="13" t="s">
        <v>219</v>
      </c>
      <c r="B532" s="13" t="n">
        <v>13</v>
      </c>
      <c r="C532" s="13" t="s">
        <v>135</v>
      </c>
      <c r="D532" s="13" t="s">
        <v>16</v>
      </c>
      <c r="E532" s="13" t="s">
        <v>83</v>
      </c>
      <c r="F532" s="14" t="n">
        <v>6177</v>
      </c>
      <c r="G532" s="15" t="n">
        <v>57.82</v>
      </c>
    </row>
    <row r="533" customFormat="false" ht="15" hidden="false" customHeight="false" outlineLevel="0" collapsed="false">
      <c r="A533" s="13" t="s">
        <v>220</v>
      </c>
      <c r="B533" s="13" t="n">
        <v>14</v>
      </c>
      <c r="C533" s="13" t="s">
        <v>135</v>
      </c>
      <c r="D533" s="13" t="s">
        <v>16</v>
      </c>
      <c r="E533" s="13" t="s">
        <v>83</v>
      </c>
      <c r="F533" s="14" t="n">
        <v>6339</v>
      </c>
      <c r="G533" s="15" t="n">
        <v>59.33</v>
      </c>
    </row>
    <row r="534" customFormat="false" ht="15" hidden="false" customHeight="false" outlineLevel="0" collapsed="false">
      <c r="A534" s="13" t="s">
        <v>9</v>
      </c>
      <c r="B534" s="13" t="n">
        <v>1</v>
      </c>
      <c r="C534" s="13" t="s">
        <v>104</v>
      </c>
      <c r="D534" s="13" t="s">
        <v>16</v>
      </c>
      <c r="E534" s="13" t="s">
        <v>47</v>
      </c>
      <c r="F534" s="14" t="n">
        <v>2230</v>
      </c>
      <c r="G534" s="15" t="n">
        <v>19.51</v>
      </c>
    </row>
    <row r="535" customFormat="false" ht="15" hidden="false" customHeight="false" outlineLevel="0" collapsed="false">
      <c r="A535" s="13" t="s">
        <v>208</v>
      </c>
      <c r="B535" s="13" t="n">
        <v>2</v>
      </c>
      <c r="C535" s="13" t="s">
        <v>104</v>
      </c>
      <c r="D535" s="13" t="s">
        <v>16</v>
      </c>
      <c r="E535" s="13" t="s">
        <v>47</v>
      </c>
      <c r="F535" s="14" t="n">
        <v>2135</v>
      </c>
      <c r="G535" s="15" t="n">
        <v>18.68</v>
      </c>
    </row>
    <row r="536" customFormat="false" ht="15" hidden="false" customHeight="false" outlineLevel="0" collapsed="false">
      <c r="A536" s="13" t="s">
        <v>209</v>
      </c>
      <c r="B536" s="13" t="n">
        <v>3</v>
      </c>
      <c r="C536" s="13" t="s">
        <v>104</v>
      </c>
      <c r="D536" s="13" t="s">
        <v>16</v>
      </c>
      <c r="E536" s="13" t="s">
        <v>47</v>
      </c>
      <c r="F536" s="14" t="n">
        <v>1921</v>
      </c>
      <c r="G536" s="15" t="n">
        <v>16.81</v>
      </c>
    </row>
    <row r="537" customFormat="false" ht="15" hidden="false" customHeight="false" outlineLevel="0" collapsed="false">
      <c r="A537" s="13" t="s">
        <v>210</v>
      </c>
      <c r="B537" s="13" t="n">
        <v>4</v>
      </c>
      <c r="C537" s="13" t="s">
        <v>104</v>
      </c>
      <c r="D537" s="13" t="s">
        <v>16</v>
      </c>
      <c r="E537" s="13" t="s">
        <v>47</v>
      </c>
      <c r="F537" s="14" t="n">
        <v>1887</v>
      </c>
      <c r="G537" s="15" t="n">
        <v>16.51</v>
      </c>
    </row>
    <row r="538" customFormat="false" ht="15" hidden="false" customHeight="false" outlineLevel="0" collapsed="false">
      <c r="A538" s="13" t="s">
        <v>211</v>
      </c>
      <c r="B538" s="13" t="n">
        <v>5</v>
      </c>
      <c r="C538" s="13" t="s">
        <v>104</v>
      </c>
      <c r="D538" s="13" t="s">
        <v>16</v>
      </c>
      <c r="E538" s="13" t="s">
        <v>47</v>
      </c>
      <c r="F538" s="14" t="n">
        <v>1919</v>
      </c>
      <c r="G538" s="15" t="n">
        <v>16.79</v>
      </c>
    </row>
    <row r="539" customFormat="false" ht="15" hidden="false" customHeight="false" outlineLevel="0" collapsed="false">
      <c r="A539" s="13" t="s">
        <v>212</v>
      </c>
      <c r="B539" s="13" t="n">
        <v>6</v>
      </c>
      <c r="C539" s="13" t="s">
        <v>104</v>
      </c>
      <c r="D539" s="13" t="s">
        <v>16</v>
      </c>
      <c r="E539" s="13" t="s">
        <v>47</v>
      </c>
      <c r="F539" s="14" t="n">
        <v>2467</v>
      </c>
      <c r="G539" s="15" t="n">
        <v>21.59</v>
      </c>
    </row>
    <row r="540" customFormat="false" ht="15" hidden="false" customHeight="false" outlineLevel="0" collapsed="false">
      <c r="A540" s="13" t="s">
        <v>213</v>
      </c>
      <c r="B540" s="13" t="n">
        <v>7</v>
      </c>
      <c r="C540" s="13" t="s">
        <v>104</v>
      </c>
      <c r="D540" s="13" t="s">
        <v>16</v>
      </c>
      <c r="E540" s="13" t="s">
        <v>47</v>
      </c>
      <c r="F540" s="14" t="n">
        <v>2379</v>
      </c>
      <c r="G540" s="15" t="n">
        <v>20.82</v>
      </c>
    </row>
    <row r="541" customFormat="false" ht="15" hidden="false" customHeight="false" outlineLevel="0" collapsed="false">
      <c r="A541" s="13" t="s">
        <v>214</v>
      </c>
      <c r="B541" s="13" t="n">
        <v>8</v>
      </c>
      <c r="C541" s="13" t="s">
        <v>104</v>
      </c>
      <c r="D541" s="13" t="s">
        <v>16</v>
      </c>
      <c r="E541" s="13" t="s">
        <v>47</v>
      </c>
      <c r="F541" s="14" t="n">
        <v>1910</v>
      </c>
      <c r="G541" s="15" t="n">
        <v>16.71</v>
      </c>
    </row>
    <row r="542" customFormat="false" ht="15" hidden="false" customHeight="false" outlineLevel="0" collapsed="false">
      <c r="A542" s="13" t="s">
        <v>215</v>
      </c>
      <c r="B542" s="13" t="n">
        <v>9</v>
      </c>
      <c r="C542" s="13" t="s">
        <v>104</v>
      </c>
      <c r="D542" s="13" t="s">
        <v>16</v>
      </c>
      <c r="E542" s="13" t="s">
        <v>47</v>
      </c>
      <c r="F542" s="14" t="n">
        <v>2129</v>
      </c>
      <c r="G542" s="15" t="n">
        <v>18.63</v>
      </c>
    </row>
    <row r="543" customFormat="false" ht="15" hidden="false" customHeight="false" outlineLevel="0" collapsed="false">
      <c r="A543" s="13" t="s">
        <v>216</v>
      </c>
      <c r="B543" s="13" t="n">
        <v>10</v>
      </c>
      <c r="C543" s="13" t="s">
        <v>104</v>
      </c>
      <c r="D543" s="13" t="s">
        <v>16</v>
      </c>
      <c r="E543" s="13" t="s">
        <v>47</v>
      </c>
      <c r="F543" s="14" t="n">
        <v>1943</v>
      </c>
      <c r="G543" s="15" t="n">
        <v>17</v>
      </c>
    </row>
    <row r="544" customFormat="false" ht="15" hidden="false" customHeight="false" outlineLevel="0" collapsed="false">
      <c r="A544" s="13" t="s">
        <v>217</v>
      </c>
      <c r="B544" s="13" t="n">
        <v>11</v>
      </c>
      <c r="C544" s="13" t="s">
        <v>104</v>
      </c>
      <c r="D544" s="13" t="s">
        <v>16</v>
      </c>
      <c r="E544" s="13" t="s">
        <v>47</v>
      </c>
      <c r="F544" s="14" t="n">
        <v>2227</v>
      </c>
      <c r="G544" s="15" t="n">
        <v>19.49</v>
      </c>
    </row>
    <row r="545" customFormat="false" ht="15" hidden="false" customHeight="false" outlineLevel="0" collapsed="false">
      <c r="A545" s="13" t="s">
        <v>218</v>
      </c>
      <c r="B545" s="13" t="n">
        <v>12</v>
      </c>
      <c r="C545" s="13" t="s">
        <v>104</v>
      </c>
      <c r="D545" s="13" t="s">
        <v>16</v>
      </c>
      <c r="E545" s="13" t="s">
        <v>47</v>
      </c>
      <c r="F545" s="14" t="n">
        <v>1967</v>
      </c>
      <c r="G545" s="15" t="n">
        <v>17.21</v>
      </c>
    </row>
    <row r="546" customFormat="false" ht="15" hidden="false" customHeight="false" outlineLevel="0" collapsed="false">
      <c r="A546" s="13" t="s">
        <v>219</v>
      </c>
      <c r="B546" s="13" t="n">
        <v>13</v>
      </c>
      <c r="C546" s="13" t="s">
        <v>104</v>
      </c>
      <c r="D546" s="13" t="s">
        <v>16</v>
      </c>
      <c r="E546" s="13" t="s">
        <v>47</v>
      </c>
      <c r="F546" s="14" t="n">
        <v>2650</v>
      </c>
      <c r="G546" s="15" t="n">
        <v>23.19</v>
      </c>
    </row>
    <row r="547" customFormat="false" ht="15" hidden="false" customHeight="false" outlineLevel="0" collapsed="false">
      <c r="A547" s="13" t="s">
        <v>220</v>
      </c>
      <c r="B547" s="13" t="n">
        <v>14</v>
      </c>
      <c r="C547" s="13" t="s">
        <v>104</v>
      </c>
      <c r="D547" s="13" t="s">
        <v>16</v>
      </c>
      <c r="E547" s="13" t="s">
        <v>47</v>
      </c>
      <c r="F547" s="14" t="n">
        <v>2445</v>
      </c>
      <c r="G547" s="15" t="n">
        <v>21.39</v>
      </c>
    </row>
    <row r="548" customFormat="false" ht="15" hidden="false" customHeight="false" outlineLevel="0" collapsed="false">
      <c r="A548" s="13" t="s">
        <v>9</v>
      </c>
      <c r="B548" s="13" t="n">
        <v>1</v>
      </c>
      <c r="C548" s="13" t="s">
        <v>167</v>
      </c>
      <c r="D548" s="13" t="s">
        <v>17</v>
      </c>
      <c r="E548" s="13" t="s">
        <v>65</v>
      </c>
      <c r="F548" s="14" t="n">
        <v>3666</v>
      </c>
      <c r="G548" s="15" t="n">
        <v>35.16</v>
      </c>
    </row>
    <row r="549" customFormat="false" ht="15" hidden="false" customHeight="false" outlineLevel="0" collapsed="false">
      <c r="A549" s="13" t="s">
        <v>208</v>
      </c>
      <c r="B549" s="13" t="n">
        <v>2</v>
      </c>
      <c r="C549" s="13" t="s">
        <v>167</v>
      </c>
      <c r="D549" s="13" t="s">
        <v>17</v>
      </c>
      <c r="E549" s="13" t="s">
        <v>65</v>
      </c>
      <c r="F549" s="14" t="n">
        <v>3315</v>
      </c>
      <c r="G549" s="15" t="n">
        <v>31.79</v>
      </c>
    </row>
    <row r="550" customFormat="false" ht="15" hidden="false" customHeight="false" outlineLevel="0" collapsed="false">
      <c r="A550" s="13" t="s">
        <v>209</v>
      </c>
      <c r="B550" s="13" t="n">
        <v>3</v>
      </c>
      <c r="C550" s="13" t="s">
        <v>167</v>
      </c>
      <c r="D550" s="13" t="s">
        <v>17</v>
      </c>
      <c r="E550" s="13" t="s">
        <v>65</v>
      </c>
      <c r="F550" s="14" t="n">
        <v>3288</v>
      </c>
      <c r="G550" s="15" t="n">
        <v>31.53</v>
      </c>
    </row>
    <row r="551" customFormat="false" ht="15" hidden="false" customHeight="false" outlineLevel="0" collapsed="false">
      <c r="A551" s="13" t="s">
        <v>210</v>
      </c>
      <c r="B551" s="13" t="n">
        <v>4</v>
      </c>
      <c r="C551" s="13" t="s">
        <v>167</v>
      </c>
      <c r="D551" s="13" t="s">
        <v>17</v>
      </c>
      <c r="E551" s="13" t="s">
        <v>65</v>
      </c>
      <c r="F551" s="14" t="n">
        <v>3561</v>
      </c>
      <c r="G551" s="15" t="n">
        <v>34.15</v>
      </c>
    </row>
    <row r="552" customFormat="false" ht="15" hidden="false" customHeight="false" outlineLevel="0" collapsed="false">
      <c r="A552" s="13" t="s">
        <v>211</v>
      </c>
      <c r="B552" s="13" t="n">
        <v>5</v>
      </c>
      <c r="C552" s="13" t="s">
        <v>167</v>
      </c>
      <c r="D552" s="13" t="s">
        <v>17</v>
      </c>
      <c r="E552" s="13" t="s">
        <v>65</v>
      </c>
      <c r="F552" s="14" t="n">
        <v>3671</v>
      </c>
      <c r="G552" s="15" t="n">
        <v>35.2</v>
      </c>
    </row>
    <row r="553" customFormat="false" ht="15" hidden="false" customHeight="false" outlineLevel="0" collapsed="false">
      <c r="A553" s="13" t="s">
        <v>212</v>
      </c>
      <c r="B553" s="13" t="n">
        <v>6</v>
      </c>
      <c r="C553" s="13" t="s">
        <v>167</v>
      </c>
      <c r="D553" s="13" t="s">
        <v>17</v>
      </c>
      <c r="E553" s="13" t="s">
        <v>65</v>
      </c>
      <c r="F553" s="14" t="n">
        <v>4250</v>
      </c>
      <c r="G553" s="15" t="n">
        <v>40.76</v>
      </c>
    </row>
    <row r="554" customFormat="false" ht="15" hidden="false" customHeight="false" outlineLevel="0" collapsed="false">
      <c r="A554" s="13" t="s">
        <v>213</v>
      </c>
      <c r="B554" s="13" t="n">
        <v>7</v>
      </c>
      <c r="C554" s="13" t="s">
        <v>167</v>
      </c>
      <c r="D554" s="13" t="s">
        <v>17</v>
      </c>
      <c r="E554" s="13" t="s">
        <v>65</v>
      </c>
      <c r="F554" s="14" t="n">
        <v>3913</v>
      </c>
      <c r="G554" s="15" t="n">
        <v>37.53</v>
      </c>
    </row>
    <row r="555" customFormat="false" ht="15" hidden="false" customHeight="false" outlineLevel="0" collapsed="false">
      <c r="A555" s="13" t="s">
        <v>214</v>
      </c>
      <c r="B555" s="13" t="n">
        <v>8</v>
      </c>
      <c r="C555" s="13" t="s">
        <v>167</v>
      </c>
      <c r="D555" s="13" t="s">
        <v>17</v>
      </c>
      <c r="E555" s="13" t="s">
        <v>65</v>
      </c>
      <c r="F555" s="14" t="n">
        <v>3183</v>
      </c>
      <c r="G555" s="15" t="n">
        <v>30.52</v>
      </c>
    </row>
    <row r="556" customFormat="false" ht="15" hidden="false" customHeight="false" outlineLevel="0" collapsed="false">
      <c r="A556" s="13" t="s">
        <v>215</v>
      </c>
      <c r="B556" s="13" t="n">
        <v>9</v>
      </c>
      <c r="C556" s="13" t="s">
        <v>167</v>
      </c>
      <c r="D556" s="13" t="s">
        <v>17</v>
      </c>
      <c r="E556" s="13" t="s">
        <v>65</v>
      </c>
      <c r="F556" s="14" t="n">
        <v>3169</v>
      </c>
      <c r="G556" s="15" t="n">
        <v>30.39</v>
      </c>
    </row>
    <row r="557" customFormat="false" ht="15" hidden="false" customHeight="false" outlineLevel="0" collapsed="false">
      <c r="A557" s="13" t="s">
        <v>216</v>
      </c>
      <c r="B557" s="13" t="n">
        <v>10</v>
      </c>
      <c r="C557" s="13" t="s">
        <v>167</v>
      </c>
      <c r="D557" s="13" t="s">
        <v>17</v>
      </c>
      <c r="E557" s="13" t="s">
        <v>65</v>
      </c>
      <c r="F557" s="14" t="n">
        <v>3098</v>
      </c>
      <c r="G557" s="15" t="n">
        <v>29.71</v>
      </c>
    </row>
    <row r="558" customFormat="false" ht="15" hidden="false" customHeight="false" outlineLevel="0" collapsed="false">
      <c r="A558" s="13" t="s">
        <v>217</v>
      </c>
      <c r="B558" s="13" t="n">
        <v>11</v>
      </c>
      <c r="C558" s="13" t="s">
        <v>167</v>
      </c>
      <c r="D558" s="13" t="s">
        <v>17</v>
      </c>
      <c r="E558" s="13" t="s">
        <v>65</v>
      </c>
      <c r="F558" s="14" t="n">
        <v>3488</v>
      </c>
      <c r="G558" s="15" t="n">
        <v>33.45</v>
      </c>
    </row>
    <row r="559" customFormat="false" ht="15" hidden="false" customHeight="false" outlineLevel="0" collapsed="false">
      <c r="A559" s="13" t="s">
        <v>218</v>
      </c>
      <c r="B559" s="13" t="n">
        <v>12</v>
      </c>
      <c r="C559" s="13" t="s">
        <v>167</v>
      </c>
      <c r="D559" s="13" t="s">
        <v>17</v>
      </c>
      <c r="E559" s="13" t="s">
        <v>65</v>
      </c>
      <c r="F559" s="14" t="n">
        <v>3700</v>
      </c>
      <c r="G559" s="15" t="n">
        <v>35.48</v>
      </c>
    </row>
    <row r="560" customFormat="false" ht="15" hidden="false" customHeight="false" outlineLevel="0" collapsed="false">
      <c r="A560" s="13" t="s">
        <v>219</v>
      </c>
      <c r="B560" s="13" t="n">
        <v>13</v>
      </c>
      <c r="C560" s="13" t="s">
        <v>167</v>
      </c>
      <c r="D560" s="13" t="s">
        <v>17</v>
      </c>
      <c r="E560" s="13" t="s">
        <v>65</v>
      </c>
      <c r="F560" s="14" t="n">
        <v>4236</v>
      </c>
      <c r="G560" s="15" t="n">
        <v>40.62</v>
      </c>
    </row>
    <row r="561" customFormat="false" ht="15" hidden="false" customHeight="false" outlineLevel="0" collapsed="false">
      <c r="A561" s="13" t="s">
        <v>220</v>
      </c>
      <c r="B561" s="13" t="n">
        <v>14</v>
      </c>
      <c r="C561" s="13" t="s">
        <v>167</v>
      </c>
      <c r="D561" s="13" t="s">
        <v>17</v>
      </c>
      <c r="E561" s="13" t="s">
        <v>65</v>
      </c>
      <c r="F561" s="14" t="n">
        <v>3665</v>
      </c>
      <c r="G561" s="15" t="n">
        <v>35.15</v>
      </c>
    </row>
    <row r="562" customFormat="false" ht="15" hidden="false" customHeight="false" outlineLevel="0" collapsed="false">
      <c r="A562" s="13" t="s">
        <v>9</v>
      </c>
      <c r="B562" s="13" t="n">
        <v>1</v>
      </c>
      <c r="C562" s="13" t="s">
        <v>184</v>
      </c>
      <c r="D562" s="13" t="s">
        <v>17</v>
      </c>
      <c r="E562" s="13" t="s">
        <v>92</v>
      </c>
      <c r="F562" s="14" t="n">
        <v>4566</v>
      </c>
      <c r="G562" s="15" t="n">
        <v>41.41</v>
      </c>
    </row>
    <row r="563" customFormat="false" ht="15" hidden="false" customHeight="false" outlineLevel="0" collapsed="false">
      <c r="A563" s="13" t="s">
        <v>208</v>
      </c>
      <c r="B563" s="13" t="n">
        <v>2</v>
      </c>
      <c r="C563" s="13" t="s">
        <v>184</v>
      </c>
      <c r="D563" s="13" t="s">
        <v>17</v>
      </c>
      <c r="E563" s="13" t="s">
        <v>92</v>
      </c>
      <c r="F563" s="14" t="n">
        <v>4574</v>
      </c>
      <c r="G563" s="15" t="n">
        <v>41.49</v>
      </c>
    </row>
    <row r="564" customFormat="false" ht="15" hidden="false" customHeight="false" outlineLevel="0" collapsed="false">
      <c r="A564" s="13" t="s">
        <v>209</v>
      </c>
      <c r="B564" s="13" t="n">
        <v>3</v>
      </c>
      <c r="C564" s="13" t="s">
        <v>184</v>
      </c>
      <c r="D564" s="13" t="s">
        <v>17</v>
      </c>
      <c r="E564" s="13" t="s">
        <v>92</v>
      </c>
      <c r="F564" s="14" t="n">
        <v>5200</v>
      </c>
      <c r="G564" s="15" t="n">
        <v>47.16</v>
      </c>
    </row>
    <row r="565" customFormat="false" ht="15" hidden="false" customHeight="false" outlineLevel="0" collapsed="false">
      <c r="A565" s="13" t="s">
        <v>210</v>
      </c>
      <c r="B565" s="13" t="n">
        <v>4</v>
      </c>
      <c r="C565" s="13" t="s">
        <v>184</v>
      </c>
      <c r="D565" s="13" t="s">
        <v>17</v>
      </c>
      <c r="E565" s="13" t="s">
        <v>92</v>
      </c>
      <c r="F565" s="14" t="n">
        <v>4215</v>
      </c>
      <c r="G565" s="15" t="n">
        <v>38.23</v>
      </c>
    </row>
    <row r="566" customFormat="false" ht="15" hidden="false" customHeight="false" outlineLevel="0" collapsed="false">
      <c r="A566" s="13" t="s">
        <v>211</v>
      </c>
      <c r="B566" s="13" t="n">
        <v>5</v>
      </c>
      <c r="C566" s="13" t="s">
        <v>184</v>
      </c>
      <c r="D566" s="13" t="s">
        <v>17</v>
      </c>
      <c r="E566" s="13" t="s">
        <v>92</v>
      </c>
      <c r="F566" s="14" t="n">
        <v>4511</v>
      </c>
      <c r="G566" s="15" t="n">
        <v>40.91</v>
      </c>
    </row>
    <row r="567" customFormat="false" ht="15" hidden="false" customHeight="false" outlineLevel="0" collapsed="false">
      <c r="A567" s="13" t="s">
        <v>212</v>
      </c>
      <c r="B567" s="13" t="n">
        <v>6</v>
      </c>
      <c r="C567" s="13" t="s">
        <v>184</v>
      </c>
      <c r="D567" s="13" t="s">
        <v>17</v>
      </c>
      <c r="E567" s="13" t="s">
        <v>92</v>
      </c>
      <c r="F567" s="14" t="n">
        <v>6230</v>
      </c>
      <c r="G567" s="15" t="n">
        <v>56.51</v>
      </c>
    </row>
    <row r="568" customFormat="false" ht="15" hidden="false" customHeight="false" outlineLevel="0" collapsed="false">
      <c r="A568" s="13" t="s">
        <v>213</v>
      </c>
      <c r="B568" s="13" t="n">
        <v>7</v>
      </c>
      <c r="C568" s="13" t="s">
        <v>184</v>
      </c>
      <c r="D568" s="13" t="s">
        <v>17</v>
      </c>
      <c r="E568" s="13" t="s">
        <v>92</v>
      </c>
      <c r="F568" s="14" t="n">
        <v>5804</v>
      </c>
      <c r="G568" s="15" t="n">
        <v>52.64</v>
      </c>
    </row>
    <row r="569" customFormat="false" ht="15" hidden="false" customHeight="false" outlineLevel="0" collapsed="false">
      <c r="A569" s="13" t="s">
        <v>214</v>
      </c>
      <c r="B569" s="13" t="n">
        <v>8</v>
      </c>
      <c r="C569" s="13" t="s">
        <v>184</v>
      </c>
      <c r="D569" s="13" t="s">
        <v>17</v>
      </c>
      <c r="E569" s="13" t="s">
        <v>92</v>
      </c>
      <c r="F569" s="14" t="n">
        <v>4775</v>
      </c>
      <c r="G569" s="15" t="n">
        <v>43.31</v>
      </c>
    </row>
    <row r="570" customFormat="false" ht="15" hidden="false" customHeight="false" outlineLevel="0" collapsed="false">
      <c r="A570" s="13" t="s">
        <v>215</v>
      </c>
      <c r="B570" s="13" t="n">
        <v>9</v>
      </c>
      <c r="C570" s="13" t="s">
        <v>184</v>
      </c>
      <c r="D570" s="13" t="s">
        <v>17</v>
      </c>
      <c r="E570" s="13" t="s">
        <v>92</v>
      </c>
      <c r="F570" s="14" t="n">
        <v>4651</v>
      </c>
      <c r="G570" s="15" t="n">
        <v>42.18</v>
      </c>
    </row>
    <row r="571" customFormat="false" ht="15" hidden="false" customHeight="false" outlineLevel="0" collapsed="false">
      <c r="A571" s="13" t="s">
        <v>216</v>
      </c>
      <c r="B571" s="13" t="n">
        <v>10</v>
      </c>
      <c r="C571" s="13" t="s">
        <v>184</v>
      </c>
      <c r="D571" s="13" t="s">
        <v>17</v>
      </c>
      <c r="E571" s="13" t="s">
        <v>92</v>
      </c>
      <c r="F571" s="14" t="n">
        <v>4711</v>
      </c>
      <c r="G571" s="15" t="n">
        <v>42.73</v>
      </c>
    </row>
    <row r="572" customFormat="false" ht="15" hidden="false" customHeight="false" outlineLevel="0" collapsed="false">
      <c r="A572" s="13" t="s">
        <v>217</v>
      </c>
      <c r="B572" s="13" t="n">
        <v>11</v>
      </c>
      <c r="C572" s="13" t="s">
        <v>184</v>
      </c>
      <c r="D572" s="13" t="s">
        <v>17</v>
      </c>
      <c r="E572" s="13" t="s">
        <v>92</v>
      </c>
      <c r="F572" s="14" t="n">
        <v>4835</v>
      </c>
      <c r="G572" s="15" t="n">
        <v>43.85</v>
      </c>
    </row>
    <row r="573" customFormat="false" ht="15" hidden="false" customHeight="false" outlineLevel="0" collapsed="false">
      <c r="A573" s="13" t="s">
        <v>218</v>
      </c>
      <c r="B573" s="13" t="n">
        <v>12</v>
      </c>
      <c r="C573" s="13" t="s">
        <v>184</v>
      </c>
      <c r="D573" s="13" t="s">
        <v>17</v>
      </c>
      <c r="E573" s="13" t="s">
        <v>92</v>
      </c>
      <c r="F573" s="14" t="n">
        <v>4395</v>
      </c>
      <c r="G573" s="15" t="n">
        <v>39.86</v>
      </c>
    </row>
    <row r="574" customFormat="false" ht="15" hidden="false" customHeight="false" outlineLevel="0" collapsed="false">
      <c r="A574" s="13" t="s">
        <v>219</v>
      </c>
      <c r="B574" s="13" t="n">
        <v>13</v>
      </c>
      <c r="C574" s="13" t="s">
        <v>184</v>
      </c>
      <c r="D574" s="13" t="s">
        <v>17</v>
      </c>
      <c r="E574" s="13" t="s">
        <v>92</v>
      </c>
      <c r="F574" s="14" t="n">
        <v>5949</v>
      </c>
      <c r="G574" s="15" t="n">
        <v>53.96</v>
      </c>
    </row>
    <row r="575" customFormat="false" ht="15" hidden="false" customHeight="false" outlineLevel="0" collapsed="false">
      <c r="A575" s="13" t="s">
        <v>220</v>
      </c>
      <c r="B575" s="13" t="n">
        <v>14</v>
      </c>
      <c r="C575" s="13" t="s">
        <v>184</v>
      </c>
      <c r="D575" s="13" t="s">
        <v>17</v>
      </c>
      <c r="E575" s="13" t="s">
        <v>92</v>
      </c>
      <c r="F575" s="14" t="n">
        <v>5186</v>
      </c>
      <c r="G575" s="15" t="n">
        <v>47.04</v>
      </c>
    </row>
    <row r="576" customFormat="false" ht="15" hidden="false" customHeight="false" outlineLevel="0" collapsed="false">
      <c r="A576" s="13" t="s">
        <v>9</v>
      </c>
      <c r="B576" s="13" t="n">
        <v>1</v>
      </c>
      <c r="C576" s="13" t="s">
        <v>163</v>
      </c>
      <c r="D576" s="13" t="s">
        <v>17</v>
      </c>
      <c r="E576" s="13" t="s">
        <v>65</v>
      </c>
      <c r="F576" s="14" t="n">
        <v>2027</v>
      </c>
      <c r="G576" s="15" t="n">
        <v>20.33</v>
      </c>
    </row>
    <row r="577" customFormat="false" ht="15" hidden="false" customHeight="false" outlineLevel="0" collapsed="false">
      <c r="A577" s="13" t="s">
        <v>208</v>
      </c>
      <c r="B577" s="13" t="n">
        <v>2</v>
      </c>
      <c r="C577" s="13" t="s">
        <v>163</v>
      </c>
      <c r="D577" s="13" t="s">
        <v>17</v>
      </c>
      <c r="E577" s="13" t="s">
        <v>65</v>
      </c>
      <c r="F577" s="14" t="n">
        <v>2010</v>
      </c>
      <c r="G577" s="15" t="n">
        <v>20.16</v>
      </c>
    </row>
    <row r="578" customFormat="false" ht="15" hidden="false" customHeight="false" outlineLevel="0" collapsed="false">
      <c r="A578" s="13" t="s">
        <v>209</v>
      </c>
      <c r="B578" s="13" t="n">
        <v>3</v>
      </c>
      <c r="C578" s="13" t="s">
        <v>163</v>
      </c>
      <c r="D578" s="13" t="s">
        <v>17</v>
      </c>
      <c r="E578" s="13" t="s">
        <v>65</v>
      </c>
      <c r="F578" s="14" t="n">
        <v>1915</v>
      </c>
      <c r="G578" s="15" t="n">
        <v>19.21</v>
      </c>
    </row>
    <row r="579" customFormat="false" ht="15" hidden="false" customHeight="false" outlineLevel="0" collapsed="false">
      <c r="A579" s="13" t="s">
        <v>210</v>
      </c>
      <c r="B579" s="13" t="n">
        <v>4</v>
      </c>
      <c r="C579" s="13" t="s">
        <v>163</v>
      </c>
      <c r="D579" s="13" t="s">
        <v>17</v>
      </c>
      <c r="E579" s="13" t="s">
        <v>65</v>
      </c>
      <c r="F579" s="14" t="n">
        <v>1985</v>
      </c>
      <c r="G579" s="15" t="n">
        <v>19.91</v>
      </c>
    </row>
    <row r="580" customFormat="false" ht="15" hidden="false" customHeight="false" outlineLevel="0" collapsed="false">
      <c r="A580" s="13" t="s">
        <v>211</v>
      </c>
      <c r="B580" s="13" t="n">
        <v>5</v>
      </c>
      <c r="C580" s="13" t="s">
        <v>163</v>
      </c>
      <c r="D580" s="13" t="s">
        <v>17</v>
      </c>
      <c r="E580" s="13" t="s">
        <v>65</v>
      </c>
      <c r="F580" s="14" t="n">
        <v>1914</v>
      </c>
      <c r="G580" s="15" t="n">
        <v>19.2</v>
      </c>
    </row>
    <row r="581" customFormat="false" ht="15" hidden="false" customHeight="false" outlineLevel="0" collapsed="false">
      <c r="A581" s="13" t="s">
        <v>212</v>
      </c>
      <c r="B581" s="13" t="n">
        <v>6</v>
      </c>
      <c r="C581" s="13" t="s">
        <v>163</v>
      </c>
      <c r="D581" s="13" t="s">
        <v>17</v>
      </c>
      <c r="E581" s="13" t="s">
        <v>65</v>
      </c>
      <c r="F581" s="14" t="n">
        <v>2276</v>
      </c>
      <c r="G581" s="15" t="n">
        <v>22.83</v>
      </c>
    </row>
    <row r="582" customFormat="false" ht="15" hidden="false" customHeight="false" outlineLevel="0" collapsed="false">
      <c r="A582" s="13" t="s">
        <v>213</v>
      </c>
      <c r="B582" s="13" t="n">
        <v>7</v>
      </c>
      <c r="C582" s="13" t="s">
        <v>163</v>
      </c>
      <c r="D582" s="13" t="s">
        <v>17</v>
      </c>
      <c r="E582" s="13" t="s">
        <v>65</v>
      </c>
      <c r="F582" s="14" t="n">
        <v>2381</v>
      </c>
      <c r="G582" s="15" t="n">
        <v>23.88</v>
      </c>
    </row>
    <row r="583" customFormat="false" ht="15" hidden="false" customHeight="false" outlineLevel="0" collapsed="false">
      <c r="A583" s="13" t="s">
        <v>214</v>
      </c>
      <c r="B583" s="13" t="n">
        <v>8</v>
      </c>
      <c r="C583" s="13" t="s">
        <v>163</v>
      </c>
      <c r="D583" s="13" t="s">
        <v>17</v>
      </c>
      <c r="E583" s="13" t="s">
        <v>65</v>
      </c>
      <c r="F583" s="14" t="n">
        <v>1856</v>
      </c>
      <c r="G583" s="15" t="n">
        <v>18.62</v>
      </c>
    </row>
    <row r="584" customFormat="false" ht="15" hidden="false" customHeight="false" outlineLevel="0" collapsed="false">
      <c r="A584" s="13" t="s">
        <v>215</v>
      </c>
      <c r="B584" s="13" t="n">
        <v>9</v>
      </c>
      <c r="C584" s="13" t="s">
        <v>163</v>
      </c>
      <c r="D584" s="13" t="s">
        <v>17</v>
      </c>
      <c r="E584" s="13" t="s">
        <v>65</v>
      </c>
      <c r="F584" s="14" t="n">
        <v>2027</v>
      </c>
      <c r="G584" s="15" t="n">
        <v>20.33</v>
      </c>
    </row>
    <row r="585" customFormat="false" ht="15" hidden="false" customHeight="false" outlineLevel="0" collapsed="false">
      <c r="A585" s="13" t="s">
        <v>216</v>
      </c>
      <c r="B585" s="13" t="n">
        <v>10</v>
      </c>
      <c r="C585" s="13" t="s">
        <v>163</v>
      </c>
      <c r="D585" s="13" t="s">
        <v>17</v>
      </c>
      <c r="E585" s="13" t="s">
        <v>65</v>
      </c>
      <c r="F585" s="14" t="n">
        <v>1851</v>
      </c>
      <c r="G585" s="15" t="n">
        <v>18.57</v>
      </c>
    </row>
    <row r="586" customFormat="false" ht="15" hidden="false" customHeight="false" outlineLevel="0" collapsed="false">
      <c r="A586" s="13" t="s">
        <v>217</v>
      </c>
      <c r="B586" s="13" t="n">
        <v>11</v>
      </c>
      <c r="C586" s="13" t="s">
        <v>163</v>
      </c>
      <c r="D586" s="13" t="s">
        <v>17</v>
      </c>
      <c r="E586" s="13" t="s">
        <v>65</v>
      </c>
      <c r="F586" s="14" t="n">
        <v>2073</v>
      </c>
      <c r="G586" s="15" t="n">
        <v>20.79</v>
      </c>
    </row>
    <row r="587" customFormat="false" ht="15" hidden="false" customHeight="false" outlineLevel="0" collapsed="false">
      <c r="A587" s="13" t="s">
        <v>218</v>
      </c>
      <c r="B587" s="13" t="n">
        <v>12</v>
      </c>
      <c r="C587" s="13" t="s">
        <v>163</v>
      </c>
      <c r="D587" s="13" t="s">
        <v>17</v>
      </c>
      <c r="E587" s="13" t="s">
        <v>65</v>
      </c>
      <c r="F587" s="14" t="n">
        <v>1847</v>
      </c>
      <c r="G587" s="15" t="n">
        <v>18.53</v>
      </c>
    </row>
    <row r="588" customFormat="false" ht="15" hidden="false" customHeight="false" outlineLevel="0" collapsed="false">
      <c r="A588" s="13" t="s">
        <v>219</v>
      </c>
      <c r="B588" s="13" t="n">
        <v>13</v>
      </c>
      <c r="C588" s="13" t="s">
        <v>163</v>
      </c>
      <c r="D588" s="13" t="s">
        <v>17</v>
      </c>
      <c r="E588" s="13" t="s">
        <v>65</v>
      </c>
      <c r="F588" s="14" t="n">
        <v>2350</v>
      </c>
      <c r="G588" s="15" t="n">
        <v>23.57</v>
      </c>
    </row>
    <row r="589" customFormat="false" ht="15" hidden="false" customHeight="false" outlineLevel="0" collapsed="false">
      <c r="A589" s="13" t="s">
        <v>220</v>
      </c>
      <c r="B589" s="13" t="n">
        <v>14</v>
      </c>
      <c r="C589" s="13" t="s">
        <v>163</v>
      </c>
      <c r="D589" s="13" t="s">
        <v>17</v>
      </c>
      <c r="E589" s="13" t="s">
        <v>65</v>
      </c>
      <c r="F589" s="14" t="n">
        <v>2341</v>
      </c>
      <c r="G589" s="15" t="n">
        <v>23.48</v>
      </c>
    </row>
    <row r="590" customFormat="false" ht="15" hidden="false" customHeight="false" outlineLevel="0" collapsed="false">
      <c r="A590" s="13" t="s">
        <v>9</v>
      </c>
      <c r="B590" s="13" t="n">
        <v>1</v>
      </c>
      <c r="C590" s="13" t="s">
        <v>180</v>
      </c>
      <c r="D590" s="13" t="s">
        <v>17</v>
      </c>
      <c r="E590" s="13" t="s">
        <v>83</v>
      </c>
      <c r="F590" s="14" t="n">
        <v>2533</v>
      </c>
      <c r="G590" s="15" t="n">
        <v>18.01</v>
      </c>
    </row>
    <row r="591" customFormat="false" ht="15" hidden="false" customHeight="false" outlineLevel="0" collapsed="false">
      <c r="A591" s="13" t="s">
        <v>208</v>
      </c>
      <c r="B591" s="13" t="n">
        <v>2</v>
      </c>
      <c r="C591" s="13" t="s">
        <v>180</v>
      </c>
      <c r="D591" s="13" t="s">
        <v>17</v>
      </c>
      <c r="E591" s="13" t="s">
        <v>83</v>
      </c>
      <c r="F591" s="14" t="n">
        <v>2393</v>
      </c>
      <c r="G591" s="15" t="n">
        <v>17.01</v>
      </c>
    </row>
    <row r="592" customFormat="false" ht="15" hidden="false" customHeight="false" outlineLevel="0" collapsed="false">
      <c r="A592" s="13" t="s">
        <v>209</v>
      </c>
      <c r="B592" s="13" t="n">
        <v>3</v>
      </c>
      <c r="C592" s="13" t="s">
        <v>180</v>
      </c>
      <c r="D592" s="13" t="s">
        <v>17</v>
      </c>
      <c r="E592" s="13" t="s">
        <v>83</v>
      </c>
      <c r="F592" s="14" t="n">
        <v>2317</v>
      </c>
      <c r="G592" s="15" t="n">
        <v>16.47</v>
      </c>
    </row>
    <row r="593" customFormat="false" ht="15" hidden="false" customHeight="false" outlineLevel="0" collapsed="false">
      <c r="A593" s="13" t="s">
        <v>210</v>
      </c>
      <c r="B593" s="13" t="n">
        <v>4</v>
      </c>
      <c r="C593" s="13" t="s">
        <v>180</v>
      </c>
      <c r="D593" s="13" t="s">
        <v>17</v>
      </c>
      <c r="E593" s="13" t="s">
        <v>83</v>
      </c>
      <c r="F593" s="14" t="n">
        <v>2417</v>
      </c>
      <c r="G593" s="15" t="n">
        <v>17.18</v>
      </c>
    </row>
    <row r="594" customFormat="false" ht="15" hidden="false" customHeight="false" outlineLevel="0" collapsed="false">
      <c r="A594" s="13" t="s">
        <v>211</v>
      </c>
      <c r="B594" s="13" t="n">
        <v>5</v>
      </c>
      <c r="C594" s="13" t="s">
        <v>180</v>
      </c>
      <c r="D594" s="13" t="s">
        <v>17</v>
      </c>
      <c r="E594" s="13" t="s">
        <v>83</v>
      </c>
      <c r="F594" s="14" t="n">
        <v>2050</v>
      </c>
      <c r="G594" s="15" t="n">
        <v>14.58</v>
      </c>
    </row>
    <row r="595" customFormat="false" ht="15" hidden="false" customHeight="false" outlineLevel="0" collapsed="false">
      <c r="A595" s="13" t="s">
        <v>212</v>
      </c>
      <c r="B595" s="13" t="n">
        <v>6</v>
      </c>
      <c r="C595" s="13" t="s">
        <v>180</v>
      </c>
      <c r="D595" s="13" t="s">
        <v>17</v>
      </c>
      <c r="E595" s="13" t="s">
        <v>83</v>
      </c>
      <c r="F595" s="14" t="n">
        <v>2864</v>
      </c>
      <c r="G595" s="15" t="n">
        <v>20.36</v>
      </c>
    </row>
    <row r="596" customFormat="false" ht="15" hidden="false" customHeight="false" outlineLevel="0" collapsed="false">
      <c r="A596" s="13" t="s">
        <v>213</v>
      </c>
      <c r="B596" s="13" t="n">
        <v>7</v>
      </c>
      <c r="C596" s="13" t="s">
        <v>180</v>
      </c>
      <c r="D596" s="13" t="s">
        <v>17</v>
      </c>
      <c r="E596" s="13" t="s">
        <v>83</v>
      </c>
      <c r="F596" s="14" t="n">
        <v>3215</v>
      </c>
      <c r="G596" s="15" t="n">
        <v>22.86</v>
      </c>
    </row>
    <row r="597" customFormat="false" ht="15" hidden="false" customHeight="false" outlineLevel="0" collapsed="false">
      <c r="A597" s="13" t="s">
        <v>214</v>
      </c>
      <c r="B597" s="13" t="n">
        <v>8</v>
      </c>
      <c r="C597" s="13" t="s">
        <v>180</v>
      </c>
      <c r="D597" s="13" t="s">
        <v>17</v>
      </c>
      <c r="E597" s="13" t="s">
        <v>83</v>
      </c>
      <c r="F597" s="14" t="n">
        <v>2365</v>
      </c>
      <c r="G597" s="15" t="n">
        <v>16.82</v>
      </c>
    </row>
    <row r="598" customFormat="false" ht="15" hidden="false" customHeight="false" outlineLevel="0" collapsed="false">
      <c r="A598" s="13" t="s">
        <v>215</v>
      </c>
      <c r="B598" s="13" t="n">
        <v>9</v>
      </c>
      <c r="C598" s="13" t="s">
        <v>180</v>
      </c>
      <c r="D598" s="13" t="s">
        <v>17</v>
      </c>
      <c r="E598" s="13" t="s">
        <v>83</v>
      </c>
      <c r="F598" s="14" t="n">
        <v>2356</v>
      </c>
      <c r="G598" s="15" t="n">
        <v>16.75</v>
      </c>
    </row>
    <row r="599" customFormat="false" ht="15" hidden="false" customHeight="false" outlineLevel="0" collapsed="false">
      <c r="A599" s="13" t="s">
        <v>216</v>
      </c>
      <c r="B599" s="13" t="n">
        <v>10</v>
      </c>
      <c r="C599" s="13" t="s">
        <v>180</v>
      </c>
      <c r="D599" s="13" t="s">
        <v>17</v>
      </c>
      <c r="E599" s="13" t="s">
        <v>83</v>
      </c>
      <c r="F599" s="14" t="n">
        <v>2424</v>
      </c>
      <c r="G599" s="15" t="n">
        <v>17.23</v>
      </c>
    </row>
    <row r="600" customFormat="false" ht="15" hidden="false" customHeight="false" outlineLevel="0" collapsed="false">
      <c r="A600" s="13" t="s">
        <v>217</v>
      </c>
      <c r="B600" s="13" t="n">
        <v>11</v>
      </c>
      <c r="C600" s="13" t="s">
        <v>180</v>
      </c>
      <c r="D600" s="13" t="s">
        <v>17</v>
      </c>
      <c r="E600" s="13" t="s">
        <v>83</v>
      </c>
      <c r="F600" s="14" t="n">
        <v>2473</v>
      </c>
      <c r="G600" s="15" t="n">
        <v>17.58</v>
      </c>
    </row>
    <row r="601" customFormat="false" ht="15" hidden="false" customHeight="false" outlineLevel="0" collapsed="false">
      <c r="A601" s="13" t="s">
        <v>218</v>
      </c>
      <c r="B601" s="13" t="n">
        <v>12</v>
      </c>
      <c r="C601" s="13" t="s">
        <v>180</v>
      </c>
      <c r="D601" s="13" t="s">
        <v>17</v>
      </c>
      <c r="E601" s="13" t="s">
        <v>83</v>
      </c>
      <c r="F601" s="14" t="n">
        <v>2065</v>
      </c>
      <c r="G601" s="15" t="n">
        <v>14.68</v>
      </c>
    </row>
    <row r="602" customFormat="false" ht="15" hidden="false" customHeight="false" outlineLevel="0" collapsed="false">
      <c r="A602" s="13" t="s">
        <v>219</v>
      </c>
      <c r="B602" s="13" t="n">
        <v>13</v>
      </c>
      <c r="C602" s="13" t="s">
        <v>180</v>
      </c>
      <c r="D602" s="13" t="s">
        <v>17</v>
      </c>
      <c r="E602" s="13" t="s">
        <v>83</v>
      </c>
      <c r="F602" s="14" t="n">
        <v>2581</v>
      </c>
      <c r="G602" s="15" t="n">
        <v>18.35</v>
      </c>
    </row>
    <row r="603" customFormat="false" ht="15" hidden="false" customHeight="false" outlineLevel="0" collapsed="false">
      <c r="A603" s="13" t="s">
        <v>220</v>
      </c>
      <c r="B603" s="13" t="n">
        <v>14</v>
      </c>
      <c r="C603" s="13" t="s">
        <v>180</v>
      </c>
      <c r="D603" s="13" t="s">
        <v>17</v>
      </c>
      <c r="E603" s="13" t="s">
        <v>83</v>
      </c>
      <c r="F603" s="14" t="n">
        <v>2907</v>
      </c>
      <c r="G603" s="15" t="n">
        <v>20.67</v>
      </c>
    </row>
    <row r="604" customFormat="false" ht="15" hidden="false" customHeight="false" outlineLevel="0" collapsed="false">
      <c r="A604" s="13" t="s">
        <v>9</v>
      </c>
      <c r="B604" s="13" t="n">
        <v>1</v>
      </c>
      <c r="C604" s="13" t="s">
        <v>181</v>
      </c>
      <c r="D604" s="13" t="s">
        <v>17</v>
      </c>
      <c r="E604" s="13" t="s">
        <v>92</v>
      </c>
      <c r="F604" s="14" t="n">
        <v>7650</v>
      </c>
      <c r="G604" s="15" t="n">
        <v>73.52</v>
      </c>
    </row>
    <row r="605" customFormat="false" ht="15" hidden="false" customHeight="false" outlineLevel="0" collapsed="false">
      <c r="A605" s="13" t="s">
        <v>208</v>
      </c>
      <c r="B605" s="13" t="n">
        <v>2</v>
      </c>
      <c r="C605" s="13" t="s">
        <v>181</v>
      </c>
      <c r="D605" s="13" t="s">
        <v>17</v>
      </c>
      <c r="E605" s="13" t="s">
        <v>92</v>
      </c>
      <c r="F605" s="14" t="n">
        <v>8622</v>
      </c>
      <c r="G605" s="15" t="n">
        <v>82.86</v>
      </c>
    </row>
    <row r="606" customFormat="false" ht="15" hidden="false" customHeight="false" outlineLevel="0" collapsed="false">
      <c r="A606" s="13" t="s">
        <v>209</v>
      </c>
      <c r="B606" s="13" t="n">
        <v>3</v>
      </c>
      <c r="C606" s="13" t="s">
        <v>181</v>
      </c>
      <c r="D606" s="13" t="s">
        <v>17</v>
      </c>
      <c r="E606" s="13" t="s">
        <v>92</v>
      </c>
      <c r="F606" s="14" t="n">
        <v>7842</v>
      </c>
      <c r="G606" s="15" t="n">
        <v>75.36</v>
      </c>
    </row>
    <row r="607" customFormat="false" ht="15" hidden="false" customHeight="false" outlineLevel="0" collapsed="false">
      <c r="A607" s="13" t="s">
        <v>210</v>
      </c>
      <c r="B607" s="13" t="n">
        <v>4</v>
      </c>
      <c r="C607" s="13" t="s">
        <v>181</v>
      </c>
      <c r="D607" s="13" t="s">
        <v>17</v>
      </c>
      <c r="E607" s="13" t="s">
        <v>92</v>
      </c>
      <c r="F607" s="14" t="n">
        <v>7065</v>
      </c>
      <c r="G607" s="15" t="n">
        <v>67.89</v>
      </c>
    </row>
    <row r="608" customFormat="false" ht="15" hidden="false" customHeight="false" outlineLevel="0" collapsed="false">
      <c r="A608" s="13" t="s">
        <v>211</v>
      </c>
      <c r="B608" s="13" t="n">
        <v>5</v>
      </c>
      <c r="C608" s="13" t="s">
        <v>181</v>
      </c>
      <c r="D608" s="13" t="s">
        <v>17</v>
      </c>
      <c r="E608" s="13" t="s">
        <v>92</v>
      </c>
      <c r="F608" s="14" t="n">
        <v>7385</v>
      </c>
      <c r="G608" s="15" t="n">
        <v>70.97</v>
      </c>
    </row>
    <row r="609" customFormat="false" ht="15" hidden="false" customHeight="false" outlineLevel="0" collapsed="false">
      <c r="A609" s="13" t="s">
        <v>212</v>
      </c>
      <c r="B609" s="13" t="n">
        <v>6</v>
      </c>
      <c r="C609" s="13" t="s">
        <v>181</v>
      </c>
      <c r="D609" s="13" t="s">
        <v>17</v>
      </c>
      <c r="E609" s="13" t="s">
        <v>92</v>
      </c>
      <c r="F609" s="14" t="n">
        <v>8165</v>
      </c>
      <c r="G609" s="15" t="n">
        <v>78.47</v>
      </c>
    </row>
    <row r="610" customFormat="false" ht="15" hidden="false" customHeight="false" outlineLevel="0" collapsed="false">
      <c r="A610" s="13" t="s">
        <v>213</v>
      </c>
      <c r="B610" s="13" t="n">
        <v>7</v>
      </c>
      <c r="C610" s="13" t="s">
        <v>181</v>
      </c>
      <c r="D610" s="13" t="s">
        <v>17</v>
      </c>
      <c r="E610" s="13" t="s">
        <v>92</v>
      </c>
      <c r="F610" s="14" t="n">
        <v>9641</v>
      </c>
      <c r="G610" s="15" t="n">
        <v>92.65</v>
      </c>
    </row>
    <row r="611" customFormat="false" ht="15" hidden="false" customHeight="false" outlineLevel="0" collapsed="false">
      <c r="A611" s="13" t="s">
        <v>214</v>
      </c>
      <c r="B611" s="13" t="n">
        <v>8</v>
      </c>
      <c r="C611" s="13" t="s">
        <v>181</v>
      </c>
      <c r="D611" s="13" t="s">
        <v>17</v>
      </c>
      <c r="E611" s="13" t="s">
        <v>92</v>
      </c>
      <c r="F611" s="14" t="n">
        <v>7903</v>
      </c>
      <c r="G611" s="15" t="n">
        <v>75.95</v>
      </c>
    </row>
    <row r="612" customFormat="false" ht="15" hidden="false" customHeight="false" outlineLevel="0" collapsed="false">
      <c r="A612" s="13" t="s">
        <v>215</v>
      </c>
      <c r="B612" s="13" t="n">
        <v>9</v>
      </c>
      <c r="C612" s="13" t="s">
        <v>181</v>
      </c>
      <c r="D612" s="13" t="s">
        <v>17</v>
      </c>
      <c r="E612" s="13" t="s">
        <v>92</v>
      </c>
      <c r="F612" s="14" t="n">
        <v>7789</v>
      </c>
      <c r="G612" s="15" t="n">
        <v>74.85</v>
      </c>
    </row>
    <row r="613" customFormat="false" ht="15" hidden="false" customHeight="false" outlineLevel="0" collapsed="false">
      <c r="A613" s="13" t="s">
        <v>216</v>
      </c>
      <c r="B613" s="13" t="n">
        <v>10</v>
      </c>
      <c r="C613" s="13" t="s">
        <v>181</v>
      </c>
      <c r="D613" s="13" t="s">
        <v>17</v>
      </c>
      <c r="E613" s="13" t="s">
        <v>92</v>
      </c>
      <c r="F613" s="14" t="n">
        <v>8510</v>
      </c>
      <c r="G613" s="15" t="n">
        <v>81.78</v>
      </c>
    </row>
    <row r="614" customFormat="false" ht="15" hidden="false" customHeight="false" outlineLevel="0" collapsed="false">
      <c r="A614" s="13" t="s">
        <v>217</v>
      </c>
      <c r="B614" s="13" t="n">
        <v>11</v>
      </c>
      <c r="C614" s="13" t="s">
        <v>181</v>
      </c>
      <c r="D614" s="13" t="s">
        <v>17</v>
      </c>
      <c r="E614" s="13" t="s">
        <v>92</v>
      </c>
      <c r="F614" s="14" t="n">
        <v>8568</v>
      </c>
      <c r="G614" s="15" t="n">
        <v>82.34</v>
      </c>
    </row>
    <row r="615" customFormat="false" ht="15" hidden="false" customHeight="false" outlineLevel="0" collapsed="false">
      <c r="A615" s="13" t="s">
        <v>218</v>
      </c>
      <c r="B615" s="13" t="n">
        <v>12</v>
      </c>
      <c r="C615" s="13" t="s">
        <v>181</v>
      </c>
      <c r="D615" s="13" t="s">
        <v>17</v>
      </c>
      <c r="E615" s="13" t="s">
        <v>92</v>
      </c>
      <c r="F615" s="14" t="n">
        <v>7911</v>
      </c>
      <c r="G615" s="15" t="n">
        <v>76.02</v>
      </c>
    </row>
    <row r="616" customFormat="false" ht="15" hidden="false" customHeight="false" outlineLevel="0" collapsed="false">
      <c r="A616" s="13" t="s">
        <v>219</v>
      </c>
      <c r="B616" s="13" t="n">
        <v>13</v>
      </c>
      <c r="C616" s="13" t="s">
        <v>181</v>
      </c>
      <c r="D616" s="13" t="s">
        <v>17</v>
      </c>
      <c r="E616" s="13" t="s">
        <v>92</v>
      </c>
      <c r="F616" s="14" t="n">
        <v>8526</v>
      </c>
      <c r="G616" s="15" t="n">
        <v>81.93</v>
      </c>
    </row>
    <row r="617" customFormat="false" ht="15" hidden="false" customHeight="false" outlineLevel="0" collapsed="false">
      <c r="A617" s="13" t="s">
        <v>220</v>
      </c>
      <c r="B617" s="13" t="n">
        <v>14</v>
      </c>
      <c r="C617" s="13" t="s">
        <v>181</v>
      </c>
      <c r="D617" s="13" t="s">
        <v>17</v>
      </c>
      <c r="E617" s="13" t="s">
        <v>92</v>
      </c>
      <c r="F617" s="14" t="n">
        <v>10141</v>
      </c>
      <c r="G617" s="15" t="n">
        <v>97.46</v>
      </c>
    </row>
    <row r="618" customFormat="false" ht="15" hidden="false" customHeight="false" outlineLevel="0" collapsed="false">
      <c r="A618" s="13" t="s">
        <v>9</v>
      </c>
      <c r="B618" s="13" t="n">
        <v>1</v>
      </c>
      <c r="C618" s="13" t="s">
        <v>162</v>
      </c>
      <c r="D618" s="13" t="s">
        <v>17</v>
      </c>
      <c r="E618" s="13" t="s">
        <v>65</v>
      </c>
      <c r="F618" s="14" t="n">
        <v>5046</v>
      </c>
      <c r="G618" s="15" t="n">
        <v>51.52</v>
      </c>
    </row>
    <row r="619" customFormat="false" ht="15" hidden="false" customHeight="false" outlineLevel="0" collapsed="false">
      <c r="A619" s="13" t="s">
        <v>208</v>
      </c>
      <c r="B619" s="13" t="n">
        <v>2</v>
      </c>
      <c r="C619" s="13" t="s">
        <v>162</v>
      </c>
      <c r="D619" s="13" t="s">
        <v>17</v>
      </c>
      <c r="E619" s="13" t="s">
        <v>65</v>
      </c>
      <c r="F619" s="14" t="n">
        <v>4973</v>
      </c>
      <c r="G619" s="15" t="n">
        <v>50.77</v>
      </c>
    </row>
    <row r="620" customFormat="false" ht="15" hidden="false" customHeight="false" outlineLevel="0" collapsed="false">
      <c r="A620" s="13" t="s">
        <v>209</v>
      </c>
      <c r="B620" s="13" t="n">
        <v>3</v>
      </c>
      <c r="C620" s="13" t="s">
        <v>162</v>
      </c>
      <c r="D620" s="13" t="s">
        <v>17</v>
      </c>
      <c r="E620" s="13" t="s">
        <v>65</v>
      </c>
      <c r="F620" s="14" t="n">
        <v>5170</v>
      </c>
      <c r="G620" s="15" t="n">
        <v>52.79</v>
      </c>
    </row>
    <row r="621" customFormat="false" ht="15" hidden="false" customHeight="false" outlineLevel="0" collapsed="false">
      <c r="A621" s="13" t="s">
        <v>210</v>
      </c>
      <c r="B621" s="13" t="n">
        <v>4</v>
      </c>
      <c r="C621" s="13" t="s">
        <v>162</v>
      </c>
      <c r="D621" s="13" t="s">
        <v>17</v>
      </c>
      <c r="E621" s="13" t="s">
        <v>65</v>
      </c>
      <c r="F621" s="14" t="n">
        <v>4542</v>
      </c>
      <c r="G621" s="15" t="n">
        <v>46.37</v>
      </c>
    </row>
    <row r="622" customFormat="false" ht="15" hidden="false" customHeight="false" outlineLevel="0" collapsed="false">
      <c r="A622" s="13" t="s">
        <v>211</v>
      </c>
      <c r="B622" s="13" t="n">
        <v>5</v>
      </c>
      <c r="C622" s="13" t="s">
        <v>162</v>
      </c>
      <c r="D622" s="13" t="s">
        <v>17</v>
      </c>
      <c r="E622" s="13" t="s">
        <v>65</v>
      </c>
      <c r="F622" s="14" t="n">
        <v>5471</v>
      </c>
      <c r="G622" s="15" t="n">
        <v>55.86</v>
      </c>
    </row>
    <row r="623" customFormat="false" ht="15" hidden="false" customHeight="false" outlineLevel="0" collapsed="false">
      <c r="A623" s="13" t="s">
        <v>212</v>
      </c>
      <c r="B623" s="13" t="n">
        <v>6</v>
      </c>
      <c r="C623" s="13" t="s">
        <v>162</v>
      </c>
      <c r="D623" s="13" t="s">
        <v>17</v>
      </c>
      <c r="E623" s="13" t="s">
        <v>65</v>
      </c>
      <c r="F623" s="14" t="n">
        <v>5630</v>
      </c>
      <c r="G623" s="15" t="n">
        <v>57.48</v>
      </c>
    </row>
    <row r="624" customFormat="false" ht="15" hidden="false" customHeight="false" outlineLevel="0" collapsed="false">
      <c r="A624" s="13" t="s">
        <v>213</v>
      </c>
      <c r="B624" s="13" t="n">
        <v>7</v>
      </c>
      <c r="C624" s="13" t="s">
        <v>162</v>
      </c>
      <c r="D624" s="13" t="s">
        <v>17</v>
      </c>
      <c r="E624" s="13" t="s">
        <v>65</v>
      </c>
      <c r="F624" s="14" t="n">
        <v>6242</v>
      </c>
      <c r="G624" s="15" t="n">
        <v>63.73</v>
      </c>
    </row>
    <row r="625" customFormat="false" ht="15" hidden="false" customHeight="false" outlineLevel="0" collapsed="false">
      <c r="A625" s="13" t="s">
        <v>214</v>
      </c>
      <c r="B625" s="13" t="n">
        <v>8</v>
      </c>
      <c r="C625" s="13" t="s">
        <v>162</v>
      </c>
      <c r="D625" s="13" t="s">
        <v>17</v>
      </c>
      <c r="E625" s="13" t="s">
        <v>65</v>
      </c>
      <c r="F625" s="14" t="n">
        <v>4388</v>
      </c>
      <c r="G625" s="15" t="n">
        <v>44.8</v>
      </c>
    </row>
    <row r="626" customFormat="false" ht="15" hidden="false" customHeight="false" outlineLevel="0" collapsed="false">
      <c r="A626" s="13" t="s">
        <v>215</v>
      </c>
      <c r="B626" s="13" t="n">
        <v>9</v>
      </c>
      <c r="C626" s="13" t="s">
        <v>162</v>
      </c>
      <c r="D626" s="13" t="s">
        <v>17</v>
      </c>
      <c r="E626" s="13" t="s">
        <v>65</v>
      </c>
      <c r="F626" s="14" t="n">
        <v>4610</v>
      </c>
      <c r="G626" s="15" t="n">
        <v>47.07</v>
      </c>
    </row>
    <row r="627" customFormat="false" ht="15" hidden="false" customHeight="false" outlineLevel="0" collapsed="false">
      <c r="A627" s="13" t="s">
        <v>216</v>
      </c>
      <c r="B627" s="13" t="n">
        <v>10</v>
      </c>
      <c r="C627" s="13" t="s">
        <v>162</v>
      </c>
      <c r="D627" s="13" t="s">
        <v>17</v>
      </c>
      <c r="E627" s="13" t="s">
        <v>65</v>
      </c>
      <c r="F627" s="14" t="n">
        <v>5327</v>
      </c>
      <c r="G627" s="15" t="n">
        <v>54.39</v>
      </c>
    </row>
    <row r="628" customFormat="false" ht="15" hidden="false" customHeight="false" outlineLevel="0" collapsed="false">
      <c r="A628" s="13" t="s">
        <v>217</v>
      </c>
      <c r="B628" s="13" t="n">
        <v>11</v>
      </c>
      <c r="C628" s="13" t="s">
        <v>162</v>
      </c>
      <c r="D628" s="13" t="s">
        <v>17</v>
      </c>
      <c r="E628" s="13" t="s">
        <v>65</v>
      </c>
      <c r="F628" s="14" t="n">
        <v>4806</v>
      </c>
      <c r="G628" s="15" t="n">
        <v>49.07</v>
      </c>
    </row>
    <row r="629" customFormat="false" ht="15" hidden="false" customHeight="false" outlineLevel="0" collapsed="false">
      <c r="A629" s="13" t="s">
        <v>218</v>
      </c>
      <c r="B629" s="13" t="n">
        <v>12</v>
      </c>
      <c r="C629" s="13" t="s">
        <v>162</v>
      </c>
      <c r="D629" s="13" t="s">
        <v>17</v>
      </c>
      <c r="E629" s="13" t="s">
        <v>65</v>
      </c>
      <c r="F629" s="14" t="n">
        <v>5129</v>
      </c>
      <c r="G629" s="15" t="n">
        <v>52.37</v>
      </c>
    </row>
    <row r="630" customFormat="false" ht="15" hidden="false" customHeight="false" outlineLevel="0" collapsed="false">
      <c r="A630" s="13" t="s">
        <v>219</v>
      </c>
      <c r="B630" s="13" t="n">
        <v>13</v>
      </c>
      <c r="C630" s="13" t="s">
        <v>162</v>
      </c>
      <c r="D630" s="13" t="s">
        <v>17</v>
      </c>
      <c r="E630" s="13" t="s">
        <v>65</v>
      </c>
      <c r="F630" s="14" t="n">
        <v>6059</v>
      </c>
      <c r="G630" s="15" t="n">
        <v>61.86</v>
      </c>
    </row>
    <row r="631" customFormat="false" ht="15" hidden="false" customHeight="false" outlineLevel="0" collapsed="false">
      <c r="A631" s="13" t="s">
        <v>220</v>
      </c>
      <c r="B631" s="13" t="n">
        <v>14</v>
      </c>
      <c r="C631" s="13" t="s">
        <v>162</v>
      </c>
      <c r="D631" s="13" t="s">
        <v>17</v>
      </c>
      <c r="E631" s="13" t="s">
        <v>65</v>
      </c>
      <c r="F631" s="14" t="n">
        <v>5936</v>
      </c>
      <c r="G631" s="15" t="n">
        <v>60.61</v>
      </c>
    </row>
    <row r="632" customFormat="false" ht="15" hidden="false" customHeight="false" outlineLevel="0" collapsed="false">
      <c r="A632" s="13" t="s">
        <v>9</v>
      </c>
      <c r="B632" s="13" t="n">
        <v>1</v>
      </c>
      <c r="C632" s="13" t="s">
        <v>185</v>
      </c>
      <c r="D632" s="13" t="s">
        <v>17</v>
      </c>
      <c r="E632" s="13" t="s">
        <v>92</v>
      </c>
      <c r="F632" s="14" t="n">
        <v>8641</v>
      </c>
      <c r="G632" s="15" t="n">
        <v>79.32</v>
      </c>
    </row>
    <row r="633" customFormat="false" ht="15" hidden="false" customHeight="false" outlineLevel="0" collapsed="false">
      <c r="A633" s="13" t="s">
        <v>208</v>
      </c>
      <c r="B633" s="13" t="n">
        <v>2</v>
      </c>
      <c r="C633" s="13" t="s">
        <v>185</v>
      </c>
      <c r="D633" s="13" t="s">
        <v>17</v>
      </c>
      <c r="E633" s="13" t="s">
        <v>92</v>
      </c>
      <c r="F633" s="14" t="n">
        <v>7874</v>
      </c>
      <c r="G633" s="15" t="n">
        <v>72.28</v>
      </c>
    </row>
    <row r="634" customFormat="false" ht="15" hidden="false" customHeight="false" outlineLevel="0" collapsed="false">
      <c r="A634" s="13" t="s">
        <v>209</v>
      </c>
      <c r="B634" s="13" t="n">
        <v>3</v>
      </c>
      <c r="C634" s="13" t="s">
        <v>185</v>
      </c>
      <c r="D634" s="13" t="s">
        <v>17</v>
      </c>
      <c r="E634" s="13" t="s">
        <v>92</v>
      </c>
      <c r="F634" s="14" t="n">
        <v>7134</v>
      </c>
      <c r="G634" s="15" t="n">
        <v>65.49</v>
      </c>
    </row>
    <row r="635" customFormat="false" ht="15" hidden="false" customHeight="false" outlineLevel="0" collapsed="false">
      <c r="A635" s="13" t="s">
        <v>210</v>
      </c>
      <c r="B635" s="13" t="n">
        <v>4</v>
      </c>
      <c r="C635" s="13" t="s">
        <v>185</v>
      </c>
      <c r="D635" s="13" t="s">
        <v>17</v>
      </c>
      <c r="E635" s="13" t="s">
        <v>92</v>
      </c>
      <c r="F635" s="14" t="n">
        <v>7602</v>
      </c>
      <c r="G635" s="15" t="n">
        <v>69.79</v>
      </c>
    </row>
    <row r="636" customFormat="false" ht="15" hidden="false" customHeight="false" outlineLevel="0" collapsed="false">
      <c r="A636" s="13" t="s">
        <v>211</v>
      </c>
      <c r="B636" s="13" t="n">
        <v>5</v>
      </c>
      <c r="C636" s="13" t="s">
        <v>185</v>
      </c>
      <c r="D636" s="13" t="s">
        <v>17</v>
      </c>
      <c r="E636" s="13" t="s">
        <v>92</v>
      </c>
      <c r="F636" s="14" t="n">
        <v>8251</v>
      </c>
      <c r="G636" s="15" t="n">
        <v>75.74</v>
      </c>
    </row>
    <row r="637" customFormat="false" ht="15" hidden="false" customHeight="false" outlineLevel="0" collapsed="false">
      <c r="A637" s="13" t="s">
        <v>212</v>
      </c>
      <c r="B637" s="13" t="n">
        <v>6</v>
      </c>
      <c r="C637" s="13" t="s">
        <v>185</v>
      </c>
      <c r="D637" s="13" t="s">
        <v>17</v>
      </c>
      <c r="E637" s="13" t="s">
        <v>92</v>
      </c>
      <c r="F637" s="14" t="n">
        <v>10003</v>
      </c>
      <c r="G637" s="15" t="n">
        <v>91.83</v>
      </c>
    </row>
    <row r="638" customFormat="false" ht="15" hidden="false" customHeight="false" outlineLevel="0" collapsed="false">
      <c r="A638" s="13" t="s">
        <v>213</v>
      </c>
      <c r="B638" s="13" t="n">
        <v>7</v>
      </c>
      <c r="C638" s="13" t="s">
        <v>185</v>
      </c>
      <c r="D638" s="13" t="s">
        <v>17</v>
      </c>
      <c r="E638" s="13" t="s">
        <v>92</v>
      </c>
      <c r="F638" s="14" t="n">
        <v>8853</v>
      </c>
      <c r="G638" s="15" t="n">
        <v>81.27</v>
      </c>
    </row>
    <row r="639" customFormat="false" ht="15" hidden="false" customHeight="false" outlineLevel="0" collapsed="false">
      <c r="A639" s="13" t="s">
        <v>214</v>
      </c>
      <c r="B639" s="13" t="n">
        <v>8</v>
      </c>
      <c r="C639" s="13" t="s">
        <v>185</v>
      </c>
      <c r="D639" s="13" t="s">
        <v>17</v>
      </c>
      <c r="E639" s="13" t="s">
        <v>92</v>
      </c>
      <c r="F639" s="14" t="n">
        <v>7640</v>
      </c>
      <c r="G639" s="15" t="n">
        <v>70.14</v>
      </c>
    </row>
    <row r="640" customFormat="false" ht="15" hidden="false" customHeight="false" outlineLevel="0" collapsed="false">
      <c r="A640" s="13" t="s">
        <v>215</v>
      </c>
      <c r="B640" s="13" t="n">
        <v>9</v>
      </c>
      <c r="C640" s="13" t="s">
        <v>185</v>
      </c>
      <c r="D640" s="13" t="s">
        <v>17</v>
      </c>
      <c r="E640" s="13" t="s">
        <v>92</v>
      </c>
      <c r="F640" s="14" t="n">
        <v>7708</v>
      </c>
      <c r="G640" s="15" t="n">
        <v>70.76</v>
      </c>
    </row>
    <row r="641" customFormat="false" ht="15" hidden="false" customHeight="false" outlineLevel="0" collapsed="false">
      <c r="A641" s="13" t="s">
        <v>216</v>
      </c>
      <c r="B641" s="13" t="n">
        <v>10</v>
      </c>
      <c r="C641" s="13" t="s">
        <v>185</v>
      </c>
      <c r="D641" s="13" t="s">
        <v>17</v>
      </c>
      <c r="E641" s="13" t="s">
        <v>92</v>
      </c>
      <c r="F641" s="14" t="n">
        <v>7812</v>
      </c>
      <c r="G641" s="15" t="n">
        <v>71.71</v>
      </c>
    </row>
    <row r="642" customFormat="false" ht="15" hidden="false" customHeight="false" outlineLevel="0" collapsed="false">
      <c r="A642" s="13" t="s">
        <v>217</v>
      </c>
      <c r="B642" s="13" t="n">
        <v>11</v>
      </c>
      <c r="C642" s="13" t="s">
        <v>185</v>
      </c>
      <c r="D642" s="13" t="s">
        <v>17</v>
      </c>
      <c r="E642" s="13" t="s">
        <v>92</v>
      </c>
      <c r="F642" s="14" t="n">
        <v>7328</v>
      </c>
      <c r="G642" s="15" t="n">
        <v>67.27</v>
      </c>
    </row>
    <row r="643" customFormat="false" ht="15" hidden="false" customHeight="false" outlineLevel="0" collapsed="false">
      <c r="A643" s="13" t="s">
        <v>218</v>
      </c>
      <c r="B643" s="13" t="n">
        <v>12</v>
      </c>
      <c r="C643" s="13" t="s">
        <v>185</v>
      </c>
      <c r="D643" s="13" t="s">
        <v>17</v>
      </c>
      <c r="E643" s="13" t="s">
        <v>92</v>
      </c>
      <c r="F643" s="14" t="n">
        <v>7686</v>
      </c>
      <c r="G643" s="15" t="n">
        <v>70.56</v>
      </c>
    </row>
    <row r="644" customFormat="false" ht="15" hidden="false" customHeight="false" outlineLevel="0" collapsed="false">
      <c r="A644" s="13" t="s">
        <v>219</v>
      </c>
      <c r="B644" s="13" t="n">
        <v>13</v>
      </c>
      <c r="C644" s="13" t="s">
        <v>185</v>
      </c>
      <c r="D644" s="13" t="s">
        <v>17</v>
      </c>
      <c r="E644" s="13" t="s">
        <v>92</v>
      </c>
      <c r="F644" s="14" t="n">
        <v>9344</v>
      </c>
      <c r="G644" s="15" t="n">
        <v>85.78</v>
      </c>
    </row>
    <row r="645" customFormat="false" ht="15" hidden="false" customHeight="false" outlineLevel="0" collapsed="false">
      <c r="A645" s="13" t="s">
        <v>220</v>
      </c>
      <c r="B645" s="13" t="n">
        <v>14</v>
      </c>
      <c r="C645" s="13" t="s">
        <v>185</v>
      </c>
      <c r="D645" s="13" t="s">
        <v>17</v>
      </c>
      <c r="E645" s="13" t="s">
        <v>92</v>
      </c>
      <c r="F645" s="14" t="n">
        <v>10224</v>
      </c>
      <c r="G645" s="15" t="n">
        <v>93.86</v>
      </c>
    </row>
    <row r="646" customFormat="false" ht="15" hidden="false" customHeight="false" outlineLevel="0" collapsed="false">
      <c r="A646" s="13" t="s">
        <v>9</v>
      </c>
      <c r="B646" s="13" t="n">
        <v>1</v>
      </c>
      <c r="C646" s="13" t="s">
        <v>188</v>
      </c>
      <c r="D646" s="13" t="s">
        <v>17</v>
      </c>
      <c r="E646" s="13" t="s">
        <v>92</v>
      </c>
      <c r="F646" s="14" t="n">
        <v>7723</v>
      </c>
      <c r="G646" s="15" t="n">
        <v>73.21</v>
      </c>
    </row>
    <row r="647" customFormat="false" ht="15" hidden="false" customHeight="false" outlineLevel="0" collapsed="false">
      <c r="A647" s="13" t="s">
        <v>208</v>
      </c>
      <c r="B647" s="13" t="n">
        <v>2</v>
      </c>
      <c r="C647" s="13" t="s">
        <v>188</v>
      </c>
      <c r="D647" s="13" t="s">
        <v>17</v>
      </c>
      <c r="E647" s="13" t="s">
        <v>92</v>
      </c>
      <c r="F647" s="14" t="n">
        <v>7301</v>
      </c>
      <c r="G647" s="15" t="n">
        <v>69.21</v>
      </c>
    </row>
    <row r="648" customFormat="false" ht="15" hidden="false" customHeight="false" outlineLevel="0" collapsed="false">
      <c r="A648" s="13" t="s">
        <v>209</v>
      </c>
      <c r="B648" s="13" t="n">
        <v>3</v>
      </c>
      <c r="C648" s="13" t="s">
        <v>188</v>
      </c>
      <c r="D648" s="13" t="s">
        <v>17</v>
      </c>
      <c r="E648" s="13" t="s">
        <v>92</v>
      </c>
      <c r="F648" s="14" t="n">
        <v>7193</v>
      </c>
      <c r="G648" s="15" t="n">
        <v>68.19</v>
      </c>
    </row>
    <row r="649" customFormat="false" ht="15" hidden="false" customHeight="false" outlineLevel="0" collapsed="false">
      <c r="A649" s="13" t="s">
        <v>210</v>
      </c>
      <c r="B649" s="13" t="n">
        <v>4</v>
      </c>
      <c r="C649" s="13" t="s">
        <v>188</v>
      </c>
      <c r="D649" s="13" t="s">
        <v>17</v>
      </c>
      <c r="E649" s="13" t="s">
        <v>92</v>
      </c>
      <c r="F649" s="14" t="n">
        <v>7428</v>
      </c>
      <c r="G649" s="15" t="n">
        <v>70.42</v>
      </c>
    </row>
    <row r="650" customFormat="false" ht="15" hidden="false" customHeight="false" outlineLevel="0" collapsed="false">
      <c r="A650" s="13" t="s">
        <v>211</v>
      </c>
      <c r="B650" s="13" t="n">
        <v>5</v>
      </c>
      <c r="C650" s="13" t="s">
        <v>188</v>
      </c>
      <c r="D650" s="13" t="s">
        <v>17</v>
      </c>
      <c r="E650" s="13" t="s">
        <v>92</v>
      </c>
      <c r="F650" s="14" t="n">
        <v>7005</v>
      </c>
      <c r="G650" s="15" t="n">
        <v>66.41</v>
      </c>
    </row>
    <row r="651" customFormat="false" ht="15" hidden="false" customHeight="false" outlineLevel="0" collapsed="false">
      <c r="A651" s="13" t="s">
        <v>212</v>
      </c>
      <c r="B651" s="13" t="n">
        <v>6</v>
      </c>
      <c r="C651" s="13" t="s">
        <v>188</v>
      </c>
      <c r="D651" s="13" t="s">
        <v>17</v>
      </c>
      <c r="E651" s="13" t="s">
        <v>92</v>
      </c>
      <c r="F651" s="14" t="n">
        <v>8391</v>
      </c>
      <c r="G651" s="15" t="n">
        <v>79.55</v>
      </c>
    </row>
    <row r="652" customFormat="false" ht="15" hidden="false" customHeight="false" outlineLevel="0" collapsed="false">
      <c r="A652" s="13" t="s">
        <v>213</v>
      </c>
      <c r="B652" s="13" t="n">
        <v>7</v>
      </c>
      <c r="C652" s="13" t="s">
        <v>188</v>
      </c>
      <c r="D652" s="13" t="s">
        <v>17</v>
      </c>
      <c r="E652" s="13" t="s">
        <v>92</v>
      </c>
      <c r="F652" s="14" t="n">
        <v>8503</v>
      </c>
      <c r="G652" s="15" t="n">
        <v>80.61</v>
      </c>
    </row>
    <row r="653" customFormat="false" ht="15" hidden="false" customHeight="false" outlineLevel="0" collapsed="false">
      <c r="A653" s="13" t="s">
        <v>214</v>
      </c>
      <c r="B653" s="13" t="n">
        <v>8</v>
      </c>
      <c r="C653" s="13" t="s">
        <v>188</v>
      </c>
      <c r="D653" s="13" t="s">
        <v>17</v>
      </c>
      <c r="E653" s="13" t="s">
        <v>92</v>
      </c>
      <c r="F653" s="14" t="n">
        <v>7085</v>
      </c>
      <c r="G653" s="15" t="n">
        <v>67.17</v>
      </c>
    </row>
    <row r="654" customFormat="false" ht="15" hidden="false" customHeight="false" outlineLevel="0" collapsed="false">
      <c r="A654" s="13" t="s">
        <v>215</v>
      </c>
      <c r="B654" s="13" t="n">
        <v>9</v>
      </c>
      <c r="C654" s="13" t="s">
        <v>188</v>
      </c>
      <c r="D654" s="13" t="s">
        <v>17</v>
      </c>
      <c r="E654" s="13" t="s">
        <v>92</v>
      </c>
      <c r="F654" s="14" t="n">
        <v>6852</v>
      </c>
      <c r="G654" s="15" t="n">
        <v>64.96</v>
      </c>
    </row>
    <row r="655" customFormat="false" ht="15" hidden="false" customHeight="false" outlineLevel="0" collapsed="false">
      <c r="A655" s="13" t="s">
        <v>216</v>
      </c>
      <c r="B655" s="13" t="n">
        <v>10</v>
      </c>
      <c r="C655" s="13" t="s">
        <v>188</v>
      </c>
      <c r="D655" s="13" t="s">
        <v>17</v>
      </c>
      <c r="E655" s="13" t="s">
        <v>92</v>
      </c>
      <c r="F655" s="14" t="n">
        <v>7437</v>
      </c>
      <c r="G655" s="15" t="n">
        <v>70.5</v>
      </c>
    </row>
    <row r="656" customFormat="false" ht="15" hidden="false" customHeight="false" outlineLevel="0" collapsed="false">
      <c r="A656" s="13" t="s">
        <v>217</v>
      </c>
      <c r="B656" s="13" t="n">
        <v>11</v>
      </c>
      <c r="C656" s="13" t="s">
        <v>188</v>
      </c>
      <c r="D656" s="13" t="s">
        <v>17</v>
      </c>
      <c r="E656" s="13" t="s">
        <v>92</v>
      </c>
      <c r="F656" s="14" t="n">
        <v>7688</v>
      </c>
      <c r="G656" s="15" t="n">
        <v>72.88</v>
      </c>
    </row>
    <row r="657" customFormat="false" ht="15" hidden="false" customHeight="false" outlineLevel="0" collapsed="false">
      <c r="A657" s="13" t="s">
        <v>218</v>
      </c>
      <c r="B657" s="13" t="n">
        <v>12</v>
      </c>
      <c r="C657" s="13" t="s">
        <v>188</v>
      </c>
      <c r="D657" s="13" t="s">
        <v>17</v>
      </c>
      <c r="E657" s="13" t="s">
        <v>92</v>
      </c>
      <c r="F657" s="14" t="n">
        <v>6664</v>
      </c>
      <c r="G657" s="15" t="n">
        <v>63.17</v>
      </c>
    </row>
    <row r="658" customFormat="false" ht="15" hidden="false" customHeight="false" outlineLevel="0" collapsed="false">
      <c r="A658" s="13" t="s">
        <v>219</v>
      </c>
      <c r="B658" s="13" t="n">
        <v>13</v>
      </c>
      <c r="C658" s="13" t="s">
        <v>188</v>
      </c>
      <c r="D658" s="13" t="s">
        <v>17</v>
      </c>
      <c r="E658" s="13" t="s">
        <v>92</v>
      </c>
      <c r="F658" s="14" t="n">
        <v>9025</v>
      </c>
      <c r="G658" s="15" t="n">
        <v>85.56</v>
      </c>
    </row>
    <row r="659" customFormat="false" ht="15" hidden="false" customHeight="false" outlineLevel="0" collapsed="false">
      <c r="A659" s="13" t="s">
        <v>220</v>
      </c>
      <c r="B659" s="13" t="n">
        <v>14</v>
      </c>
      <c r="C659" s="13" t="s">
        <v>188</v>
      </c>
      <c r="D659" s="13" t="s">
        <v>17</v>
      </c>
      <c r="E659" s="13" t="s">
        <v>92</v>
      </c>
      <c r="F659" s="14" t="n">
        <v>8893</v>
      </c>
      <c r="G659" s="15" t="n">
        <v>84.31</v>
      </c>
    </row>
    <row r="660" customFormat="false" ht="15" hidden="false" customHeight="false" outlineLevel="0" collapsed="false">
      <c r="A660" s="13" t="s">
        <v>9</v>
      </c>
      <c r="B660" s="13" t="n">
        <v>1</v>
      </c>
      <c r="C660" s="13" t="s">
        <v>165</v>
      </c>
      <c r="D660" s="13" t="s">
        <v>17</v>
      </c>
      <c r="E660" s="13" t="s">
        <v>65</v>
      </c>
      <c r="F660" s="14" t="n">
        <v>6109</v>
      </c>
      <c r="G660" s="15" t="n">
        <v>71.23</v>
      </c>
    </row>
    <row r="661" customFormat="false" ht="15" hidden="false" customHeight="false" outlineLevel="0" collapsed="false">
      <c r="A661" s="13" t="s">
        <v>208</v>
      </c>
      <c r="B661" s="13" t="n">
        <v>2</v>
      </c>
      <c r="C661" s="13" t="s">
        <v>165</v>
      </c>
      <c r="D661" s="13" t="s">
        <v>17</v>
      </c>
      <c r="E661" s="13" t="s">
        <v>65</v>
      </c>
      <c r="F661" s="14" t="n">
        <v>5981</v>
      </c>
      <c r="G661" s="15" t="n">
        <v>69.74</v>
      </c>
    </row>
    <row r="662" customFormat="false" ht="15" hidden="false" customHeight="false" outlineLevel="0" collapsed="false">
      <c r="A662" s="13" t="s">
        <v>209</v>
      </c>
      <c r="B662" s="13" t="n">
        <v>3</v>
      </c>
      <c r="C662" s="13" t="s">
        <v>165</v>
      </c>
      <c r="D662" s="13" t="s">
        <v>17</v>
      </c>
      <c r="E662" s="13" t="s">
        <v>65</v>
      </c>
      <c r="F662" s="14" t="n">
        <v>5464</v>
      </c>
      <c r="G662" s="15" t="n">
        <v>63.71</v>
      </c>
    </row>
    <row r="663" customFormat="false" ht="15" hidden="false" customHeight="false" outlineLevel="0" collapsed="false">
      <c r="A663" s="13" t="s">
        <v>210</v>
      </c>
      <c r="B663" s="13" t="n">
        <v>4</v>
      </c>
      <c r="C663" s="13" t="s">
        <v>165</v>
      </c>
      <c r="D663" s="13" t="s">
        <v>17</v>
      </c>
      <c r="E663" s="13" t="s">
        <v>65</v>
      </c>
      <c r="F663" s="14" t="n">
        <v>5532</v>
      </c>
      <c r="G663" s="15" t="n">
        <v>64.5</v>
      </c>
    </row>
    <row r="664" customFormat="false" ht="15" hidden="false" customHeight="false" outlineLevel="0" collapsed="false">
      <c r="A664" s="13" t="s">
        <v>211</v>
      </c>
      <c r="B664" s="13" t="n">
        <v>5</v>
      </c>
      <c r="C664" s="13" t="s">
        <v>165</v>
      </c>
      <c r="D664" s="13" t="s">
        <v>17</v>
      </c>
      <c r="E664" s="13" t="s">
        <v>65</v>
      </c>
      <c r="F664" s="14" t="n">
        <v>5996</v>
      </c>
      <c r="G664" s="15" t="n">
        <v>69.91</v>
      </c>
    </row>
    <row r="665" customFormat="false" ht="15" hidden="false" customHeight="false" outlineLevel="0" collapsed="false">
      <c r="A665" s="13" t="s">
        <v>212</v>
      </c>
      <c r="B665" s="13" t="n">
        <v>6</v>
      </c>
      <c r="C665" s="13" t="s">
        <v>165</v>
      </c>
      <c r="D665" s="13" t="s">
        <v>17</v>
      </c>
      <c r="E665" s="13" t="s">
        <v>65</v>
      </c>
      <c r="F665" s="14" t="n">
        <v>7775</v>
      </c>
      <c r="G665" s="15" t="n">
        <v>90.66</v>
      </c>
    </row>
    <row r="666" customFormat="false" ht="15" hidden="false" customHeight="false" outlineLevel="0" collapsed="false">
      <c r="A666" s="13" t="s">
        <v>213</v>
      </c>
      <c r="B666" s="13" t="n">
        <v>7</v>
      </c>
      <c r="C666" s="13" t="s">
        <v>165</v>
      </c>
      <c r="D666" s="13" t="s">
        <v>17</v>
      </c>
      <c r="E666" s="13" t="s">
        <v>65</v>
      </c>
      <c r="F666" s="14" t="n">
        <v>6350</v>
      </c>
      <c r="G666" s="15" t="n">
        <v>74.04</v>
      </c>
    </row>
    <row r="667" customFormat="false" ht="15" hidden="false" customHeight="false" outlineLevel="0" collapsed="false">
      <c r="A667" s="13" t="s">
        <v>214</v>
      </c>
      <c r="B667" s="13" t="n">
        <v>8</v>
      </c>
      <c r="C667" s="13" t="s">
        <v>165</v>
      </c>
      <c r="D667" s="13" t="s">
        <v>17</v>
      </c>
      <c r="E667" s="13" t="s">
        <v>65</v>
      </c>
      <c r="F667" s="14" t="n">
        <v>6110</v>
      </c>
      <c r="G667" s="15" t="n">
        <v>71.24</v>
      </c>
    </row>
    <row r="668" customFormat="false" ht="15" hidden="false" customHeight="false" outlineLevel="0" collapsed="false">
      <c r="A668" s="13" t="s">
        <v>215</v>
      </c>
      <c r="B668" s="13" t="n">
        <v>9</v>
      </c>
      <c r="C668" s="13" t="s">
        <v>165</v>
      </c>
      <c r="D668" s="13" t="s">
        <v>17</v>
      </c>
      <c r="E668" s="13" t="s">
        <v>65</v>
      </c>
      <c r="F668" s="14" t="n">
        <v>6413</v>
      </c>
      <c r="G668" s="15" t="n">
        <v>74.78</v>
      </c>
    </row>
    <row r="669" customFormat="false" ht="15" hidden="false" customHeight="false" outlineLevel="0" collapsed="false">
      <c r="A669" s="13" t="s">
        <v>216</v>
      </c>
      <c r="B669" s="13" t="n">
        <v>10</v>
      </c>
      <c r="C669" s="13" t="s">
        <v>165</v>
      </c>
      <c r="D669" s="13" t="s">
        <v>17</v>
      </c>
      <c r="E669" s="13" t="s">
        <v>65</v>
      </c>
      <c r="F669" s="14" t="n">
        <v>5931</v>
      </c>
      <c r="G669" s="15" t="n">
        <v>69.16</v>
      </c>
    </row>
    <row r="670" customFormat="false" ht="15" hidden="false" customHeight="false" outlineLevel="0" collapsed="false">
      <c r="A670" s="13" t="s">
        <v>217</v>
      </c>
      <c r="B670" s="13" t="n">
        <v>11</v>
      </c>
      <c r="C670" s="13" t="s">
        <v>165</v>
      </c>
      <c r="D670" s="13" t="s">
        <v>17</v>
      </c>
      <c r="E670" s="13" t="s">
        <v>65</v>
      </c>
      <c r="F670" s="14" t="n">
        <v>6183</v>
      </c>
      <c r="G670" s="15" t="n">
        <v>72.09</v>
      </c>
    </row>
    <row r="671" customFormat="false" ht="15" hidden="false" customHeight="false" outlineLevel="0" collapsed="false">
      <c r="A671" s="13" t="s">
        <v>218</v>
      </c>
      <c r="B671" s="13" t="n">
        <v>12</v>
      </c>
      <c r="C671" s="13" t="s">
        <v>165</v>
      </c>
      <c r="D671" s="13" t="s">
        <v>17</v>
      </c>
      <c r="E671" s="13" t="s">
        <v>65</v>
      </c>
      <c r="F671" s="14" t="n">
        <v>5733</v>
      </c>
      <c r="G671" s="15" t="n">
        <v>66.85</v>
      </c>
    </row>
    <row r="672" customFormat="false" ht="15" hidden="false" customHeight="false" outlineLevel="0" collapsed="false">
      <c r="A672" s="13" t="s">
        <v>219</v>
      </c>
      <c r="B672" s="13" t="n">
        <v>13</v>
      </c>
      <c r="C672" s="13" t="s">
        <v>165</v>
      </c>
      <c r="D672" s="13" t="s">
        <v>17</v>
      </c>
      <c r="E672" s="13" t="s">
        <v>65</v>
      </c>
      <c r="F672" s="14" t="n">
        <v>7271</v>
      </c>
      <c r="G672" s="15" t="n">
        <v>84.78</v>
      </c>
    </row>
    <row r="673" customFormat="false" ht="15" hidden="false" customHeight="false" outlineLevel="0" collapsed="false">
      <c r="A673" s="13" t="s">
        <v>220</v>
      </c>
      <c r="B673" s="13" t="n">
        <v>14</v>
      </c>
      <c r="C673" s="13" t="s">
        <v>165</v>
      </c>
      <c r="D673" s="13" t="s">
        <v>17</v>
      </c>
      <c r="E673" s="13" t="s">
        <v>65</v>
      </c>
      <c r="F673" s="14" t="n">
        <v>6611</v>
      </c>
      <c r="G673" s="15" t="n">
        <v>77.08</v>
      </c>
    </row>
    <row r="674" customFormat="false" ht="15" hidden="false" customHeight="false" outlineLevel="0" collapsed="false">
      <c r="A674" s="13" t="s">
        <v>9</v>
      </c>
      <c r="B674" s="13" t="n">
        <v>1</v>
      </c>
      <c r="C674" s="13" t="s">
        <v>186</v>
      </c>
      <c r="D674" s="13" t="s">
        <v>17</v>
      </c>
      <c r="E674" s="13" t="s">
        <v>92</v>
      </c>
      <c r="F674" s="14" t="n">
        <v>4820</v>
      </c>
      <c r="G674" s="15" t="n">
        <v>48.01</v>
      </c>
    </row>
    <row r="675" customFormat="false" ht="15" hidden="false" customHeight="false" outlineLevel="0" collapsed="false">
      <c r="A675" s="13" t="s">
        <v>208</v>
      </c>
      <c r="B675" s="13" t="n">
        <v>2</v>
      </c>
      <c r="C675" s="13" t="s">
        <v>186</v>
      </c>
      <c r="D675" s="13" t="s">
        <v>17</v>
      </c>
      <c r="E675" s="13" t="s">
        <v>92</v>
      </c>
      <c r="F675" s="14" t="n">
        <v>5926</v>
      </c>
      <c r="G675" s="15" t="n">
        <v>59.02</v>
      </c>
    </row>
    <row r="676" customFormat="false" ht="15" hidden="false" customHeight="false" outlineLevel="0" collapsed="false">
      <c r="A676" s="13" t="s">
        <v>209</v>
      </c>
      <c r="B676" s="13" t="n">
        <v>3</v>
      </c>
      <c r="C676" s="13" t="s">
        <v>186</v>
      </c>
      <c r="D676" s="13" t="s">
        <v>17</v>
      </c>
      <c r="E676" s="13" t="s">
        <v>92</v>
      </c>
      <c r="F676" s="14" t="n">
        <v>5277</v>
      </c>
      <c r="G676" s="15" t="n">
        <v>52.56</v>
      </c>
    </row>
    <row r="677" customFormat="false" ht="15" hidden="false" customHeight="false" outlineLevel="0" collapsed="false">
      <c r="A677" s="13" t="s">
        <v>210</v>
      </c>
      <c r="B677" s="13" t="n">
        <v>4</v>
      </c>
      <c r="C677" s="13" t="s">
        <v>186</v>
      </c>
      <c r="D677" s="13" t="s">
        <v>17</v>
      </c>
      <c r="E677" s="13" t="s">
        <v>92</v>
      </c>
      <c r="F677" s="14" t="n">
        <v>5455</v>
      </c>
      <c r="G677" s="15" t="n">
        <v>54.33</v>
      </c>
    </row>
    <row r="678" customFormat="false" ht="15" hidden="false" customHeight="false" outlineLevel="0" collapsed="false">
      <c r="A678" s="13" t="s">
        <v>211</v>
      </c>
      <c r="B678" s="13" t="n">
        <v>5</v>
      </c>
      <c r="C678" s="13" t="s">
        <v>186</v>
      </c>
      <c r="D678" s="13" t="s">
        <v>17</v>
      </c>
      <c r="E678" s="13" t="s">
        <v>92</v>
      </c>
      <c r="F678" s="14" t="n">
        <v>5142</v>
      </c>
      <c r="G678" s="15" t="n">
        <v>51.21</v>
      </c>
    </row>
    <row r="679" customFormat="false" ht="15" hidden="false" customHeight="false" outlineLevel="0" collapsed="false">
      <c r="A679" s="13" t="s">
        <v>212</v>
      </c>
      <c r="B679" s="13" t="n">
        <v>6</v>
      </c>
      <c r="C679" s="13" t="s">
        <v>186</v>
      </c>
      <c r="D679" s="13" t="s">
        <v>17</v>
      </c>
      <c r="E679" s="13" t="s">
        <v>92</v>
      </c>
      <c r="F679" s="14" t="n">
        <v>6281</v>
      </c>
      <c r="G679" s="15" t="n">
        <v>62.56</v>
      </c>
    </row>
    <row r="680" customFormat="false" ht="15" hidden="false" customHeight="false" outlineLevel="0" collapsed="false">
      <c r="A680" s="13" t="s">
        <v>213</v>
      </c>
      <c r="B680" s="13" t="n">
        <v>7</v>
      </c>
      <c r="C680" s="13" t="s">
        <v>186</v>
      </c>
      <c r="D680" s="13" t="s">
        <v>17</v>
      </c>
      <c r="E680" s="13" t="s">
        <v>92</v>
      </c>
      <c r="F680" s="14" t="n">
        <v>6790</v>
      </c>
      <c r="G680" s="15" t="n">
        <v>67.63</v>
      </c>
    </row>
    <row r="681" customFormat="false" ht="15" hidden="false" customHeight="false" outlineLevel="0" collapsed="false">
      <c r="A681" s="13" t="s">
        <v>214</v>
      </c>
      <c r="B681" s="13" t="n">
        <v>8</v>
      </c>
      <c r="C681" s="13" t="s">
        <v>186</v>
      </c>
      <c r="D681" s="13" t="s">
        <v>17</v>
      </c>
      <c r="E681" s="13" t="s">
        <v>92</v>
      </c>
      <c r="F681" s="14" t="n">
        <v>5363</v>
      </c>
      <c r="G681" s="15" t="n">
        <v>53.42</v>
      </c>
    </row>
    <row r="682" customFormat="false" ht="15" hidden="false" customHeight="false" outlineLevel="0" collapsed="false">
      <c r="A682" s="13" t="s">
        <v>215</v>
      </c>
      <c r="B682" s="13" t="n">
        <v>9</v>
      </c>
      <c r="C682" s="13" t="s">
        <v>186</v>
      </c>
      <c r="D682" s="13" t="s">
        <v>17</v>
      </c>
      <c r="E682" s="13" t="s">
        <v>92</v>
      </c>
      <c r="F682" s="14" t="n">
        <v>5736</v>
      </c>
      <c r="G682" s="15" t="n">
        <v>57.13</v>
      </c>
    </row>
    <row r="683" customFormat="false" ht="15" hidden="false" customHeight="false" outlineLevel="0" collapsed="false">
      <c r="A683" s="13" t="s">
        <v>216</v>
      </c>
      <c r="B683" s="13" t="n">
        <v>10</v>
      </c>
      <c r="C683" s="13" t="s">
        <v>186</v>
      </c>
      <c r="D683" s="13" t="s">
        <v>17</v>
      </c>
      <c r="E683" s="13" t="s">
        <v>92</v>
      </c>
      <c r="F683" s="14" t="n">
        <v>5761</v>
      </c>
      <c r="G683" s="15" t="n">
        <v>57.38</v>
      </c>
    </row>
    <row r="684" customFormat="false" ht="15" hidden="false" customHeight="false" outlineLevel="0" collapsed="false">
      <c r="A684" s="13" t="s">
        <v>217</v>
      </c>
      <c r="B684" s="13" t="n">
        <v>11</v>
      </c>
      <c r="C684" s="13" t="s">
        <v>186</v>
      </c>
      <c r="D684" s="13" t="s">
        <v>17</v>
      </c>
      <c r="E684" s="13" t="s">
        <v>92</v>
      </c>
      <c r="F684" s="14" t="n">
        <v>5717</v>
      </c>
      <c r="G684" s="15" t="n">
        <v>56.94</v>
      </c>
    </row>
    <row r="685" customFormat="false" ht="15" hidden="false" customHeight="false" outlineLevel="0" collapsed="false">
      <c r="A685" s="13" t="s">
        <v>218</v>
      </c>
      <c r="B685" s="13" t="n">
        <v>12</v>
      </c>
      <c r="C685" s="13" t="s">
        <v>186</v>
      </c>
      <c r="D685" s="13" t="s">
        <v>17</v>
      </c>
      <c r="E685" s="13" t="s">
        <v>92</v>
      </c>
      <c r="F685" s="14" t="n">
        <v>5689</v>
      </c>
      <c r="G685" s="15" t="n">
        <v>56.66</v>
      </c>
    </row>
    <row r="686" customFormat="false" ht="15" hidden="false" customHeight="false" outlineLevel="0" collapsed="false">
      <c r="A686" s="13" t="s">
        <v>219</v>
      </c>
      <c r="B686" s="13" t="n">
        <v>13</v>
      </c>
      <c r="C686" s="13" t="s">
        <v>186</v>
      </c>
      <c r="D686" s="13" t="s">
        <v>17</v>
      </c>
      <c r="E686" s="13" t="s">
        <v>92</v>
      </c>
      <c r="F686" s="14" t="n">
        <v>7511</v>
      </c>
      <c r="G686" s="15" t="n">
        <v>74.81</v>
      </c>
    </row>
    <row r="687" customFormat="false" ht="15" hidden="false" customHeight="false" outlineLevel="0" collapsed="false">
      <c r="A687" s="13" t="s">
        <v>220</v>
      </c>
      <c r="B687" s="13" t="n">
        <v>14</v>
      </c>
      <c r="C687" s="13" t="s">
        <v>186</v>
      </c>
      <c r="D687" s="13" t="s">
        <v>17</v>
      </c>
      <c r="E687" s="13" t="s">
        <v>92</v>
      </c>
      <c r="F687" s="14" t="n">
        <v>6422</v>
      </c>
      <c r="G687" s="15" t="n">
        <v>63.96</v>
      </c>
    </row>
  </sheetData>
  <autoFilter ref="A1:G6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221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9" t="str">
        <f aca="false">"As of flight day "&amp;Brief!$B$28&amp;" of "&amp;Brief!$B$9</f>
        <v>As of flight day 14 of 28</v>
      </c>
      <c r="B2" s="2"/>
      <c r="C2" s="2"/>
      <c r="D2" s="2" t="s">
        <v>222</v>
      </c>
      <c r="E2" s="31" t="n">
        <f aca="false">Brief!$B$28/Brief!$B$9</f>
        <v>0.5</v>
      </c>
      <c r="F2" s="2"/>
      <c r="G2" s="2" t="s">
        <v>223</v>
      </c>
      <c r="H2" s="7" t="n">
        <v>0.9</v>
      </c>
      <c r="I2" s="2" t="s">
        <v>224</v>
      </c>
      <c r="J2" s="7" t="n">
        <v>1.1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1.5" hidden="false" customHeight="true" outlineLevel="0" collapsed="false">
      <c r="A4" s="12" t="s">
        <v>32</v>
      </c>
      <c r="B4" s="12" t="s">
        <v>194</v>
      </c>
      <c r="C4" s="12" t="s">
        <v>225</v>
      </c>
      <c r="D4" s="12" t="s">
        <v>226</v>
      </c>
      <c r="E4" s="12" t="s">
        <v>227</v>
      </c>
      <c r="F4" s="12" t="s">
        <v>228</v>
      </c>
      <c r="G4" s="12" t="s">
        <v>229</v>
      </c>
      <c r="H4" s="12" t="s">
        <v>230</v>
      </c>
      <c r="I4" s="12" t="s">
        <v>207</v>
      </c>
      <c r="J4" s="12" t="s">
        <v>231</v>
      </c>
    </row>
    <row r="5" customFormat="false" ht="15" hidden="false" customHeight="false" outlineLevel="0" collapsed="false">
      <c r="A5" s="2" t="s">
        <v>47</v>
      </c>
      <c r="B5" s="22" t="n">
        <f aca="false">SUMIF('Media Plan'!$C$2:$C$50,A5,'Media Plan'!$G$2:$G$50)</f>
        <v>482674.772036474</v>
      </c>
      <c r="C5" s="22" t="n">
        <f aca="false">B5*$E$2</f>
        <v>241337.386018237</v>
      </c>
      <c r="D5" s="22" t="n">
        <f aca="false">SUMIFS('Delivery Data'!$F$2:$F$687,'Delivery Data'!$E$2:$E$687,A5,'Delivery Data'!$B$2:$B$687,"&lt;="&amp;Brief!$B$28)</f>
        <v>240532</v>
      </c>
      <c r="E5" s="10" t="n">
        <f aca="false">IFERROR(D5/B5,0)</f>
        <v>0.498331410579345</v>
      </c>
      <c r="F5" s="32" t="n">
        <f aca="false">IFERROR(D5/C5,0)</f>
        <v>0.99666282115869</v>
      </c>
      <c r="G5" s="22" t="n">
        <f aca="false">IFERROR(D5/$E$2,0)</f>
        <v>481064</v>
      </c>
      <c r="H5" s="22" t="n">
        <f aca="false">MAX(0,B5-G5)</f>
        <v>1610.77203647414</v>
      </c>
      <c r="I5" s="8" t="n">
        <f aca="false">SUMIFS('Delivery Data'!$G$2:$G$687,'Delivery Data'!$E$2:$E$687,A5,'Delivery Data'!$B$2:$B$687,"&lt;="&amp;Brief!$B$28)</f>
        <v>2241.38</v>
      </c>
      <c r="J5" s="2" t="str">
        <f aca="false">IF(B5=0,"Not in plan",IF(F5&lt;$H$2,"Behind",IF(F5&gt;$J$2,"Ahead","On track")))</f>
        <v>On track</v>
      </c>
    </row>
    <row r="6" customFormat="false" ht="15" hidden="false" customHeight="false" outlineLevel="0" collapsed="false">
      <c r="A6" s="2" t="s">
        <v>55</v>
      </c>
      <c r="B6" s="22" t="n">
        <f aca="false">SUMIF('Media Plan'!$C$2:$C$50,A6,'Media Plan'!$G$2:$G$50)</f>
        <v>318980.706529384</v>
      </c>
      <c r="C6" s="22" t="n">
        <f aca="false">B6*$E$2</f>
        <v>159490.353264692</v>
      </c>
      <c r="D6" s="22" t="n">
        <f aca="false">SUMIFS('Delivery Data'!$F$2:$F$687,'Delivery Data'!$E$2:$E$687,A6,'Delivery Data'!$B$2:$B$687,"&lt;="&amp;Brief!$B$28)</f>
        <v>156985</v>
      </c>
      <c r="E6" s="10" t="n">
        <f aca="false">IFERROR(D6/B6,0)</f>
        <v>0.492145752976878</v>
      </c>
      <c r="F6" s="32" t="n">
        <f aca="false">IFERROR(D6/C6,0)</f>
        <v>0.984291505953755</v>
      </c>
      <c r="G6" s="22" t="n">
        <f aca="false">IFERROR(D6/$E$2,0)</f>
        <v>313970</v>
      </c>
      <c r="H6" s="22" t="n">
        <f aca="false">MAX(0,B6-G6)</f>
        <v>5010.70652938384</v>
      </c>
      <c r="I6" s="8" t="n">
        <f aca="false">SUMIFS('Delivery Data'!$G$2:$G$687,'Delivery Data'!$E$2:$E$687,A6,'Delivery Data'!$B$2:$B$687,"&lt;="&amp;Brief!$B$28)</f>
        <v>1623.15</v>
      </c>
      <c r="J6" s="2" t="str">
        <f aca="false">IF(B6=0,"Not in plan",IF(F6&lt;$H$2,"Behind",IF(F6&gt;$J$2,"Ahead","On track")))</f>
        <v>On track</v>
      </c>
    </row>
    <row r="7" customFormat="false" ht="15" hidden="false" customHeight="false" outlineLevel="0" collapsed="false">
      <c r="A7" s="2" t="s">
        <v>65</v>
      </c>
      <c r="B7" s="22" t="n">
        <f aca="false">SUMIF('Media Plan'!$C$2:$C$50,A7,'Media Plan'!$G$2:$G$50)</f>
        <v>1789170.78381402</v>
      </c>
      <c r="C7" s="22" t="n">
        <f aca="false">B7*$E$2</f>
        <v>894585.391907008</v>
      </c>
      <c r="D7" s="22" t="n">
        <f aca="false">SUMIFS('Delivery Data'!$F$2:$F$687,'Delivery Data'!$E$2:$E$687,A7,'Delivery Data'!$B$2:$B$687,"&lt;="&amp;Brief!$B$28)</f>
        <v>883345</v>
      </c>
      <c r="E7" s="10" t="n">
        <f aca="false">IFERROR(D7/B7,0)</f>
        <v>0.493717541104127</v>
      </c>
      <c r="F7" s="32" t="n">
        <f aca="false">IFERROR(D7/C7,0)</f>
        <v>0.987435082208255</v>
      </c>
      <c r="G7" s="22" t="n">
        <f aca="false">IFERROR(D7/$E$2,0)</f>
        <v>1766690</v>
      </c>
      <c r="H7" s="22" t="n">
        <f aca="false">MAX(0,B7-G7)</f>
        <v>22480.7838140153</v>
      </c>
      <c r="I7" s="8" t="n">
        <f aca="false">SUMIFS('Delivery Data'!$G$2:$G$687,'Delivery Data'!$E$2:$E$687,A7,'Delivery Data'!$B$2:$B$687,"&lt;="&amp;Brief!$B$28)</f>
        <v>11112.43</v>
      </c>
      <c r="J7" s="2" t="str">
        <f aca="false">IF(B7=0,"Not in plan",IF(F7&lt;$H$2,"Behind",IF(F7&gt;$J$2,"Ahead","On track")))</f>
        <v>On track</v>
      </c>
    </row>
    <row r="8" customFormat="false" ht="15" hidden="false" customHeight="false" outlineLevel="0" collapsed="false">
      <c r="A8" s="2" t="s">
        <v>74</v>
      </c>
      <c r="B8" s="22" t="n">
        <f aca="false">SUMIF('Media Plan'!$C$2:$C$50,A8,'Media Plan'!$G$2:$G$50)</f>
        <v>0</v>
      </c>
      <c r="C8" s="22" t="n">
        <f aca="false">B8*$E$2</f>
        <v>0</v>
      </c>
      <c r="D8" s="22" t="n">
        <f aca="false">SUMIFS('Delivery Data'!$F$2:$F$687,'Delivery Data'!$E$2:$E$687,A8,'Delivery Data'!$B$2:$B$687,"&lt;="&amp;Brief!$B$28)</f>
        <v>0</v>
      </c>
      <c r="E8" s="10" t="n">
        <f aca="false">IFERROR(D8/B8,0)</f>
        <v>0</v>
      </c>
      <c r="F8" s="32" t="n">
        <f aca="false">IFERROR(D8/C8,0)</f>
        <v>0</v>
      </c>
      <c r="G8" s="22" t="n">
        <f aca="false">IFERROR(D8/$E$2,0)</f>
        <v>0</v>
      </c>
      <c r="H8" s="22" t="n">
        <f aca="false">MAX(0,B8-G8)</f>
        <v>0</v>
      </c>
      <c r="I8" s="8" t="n">
        <f aca="false">SUMIFS('Delivery Data'!$G$2:$G$687,'Delivery Data'!$E$2:$E$687,A8,'Delivery Data'!$B$2:$B$687,"&lt;="&amp;Brief!$B$28)</f>
        <v>0</v>
      </c>
      <c r="J8" s="2" t="str">
        <f aca="false">IF(B8=0,"Not in plan",IF(F8&lt;$H$2,"Behind",IF(F8&gt;$J$2,"Ahead","On track")))</f>
        <v>Not in plan</v>
      </c>
    </row>
    <row r="9" customFormat="false" ht="15" hidden="false" customHeight="false" outlineLevel="0" collapsed="false">
      <c r="A9" s="2" t="s">
        <v>83</v>
      </c>
      <c r="B9" s="22" t="n">
        <f aca="false">SUMIF('Media Plan'!$C$2:$C$50,A9,'Media Plan'!$G$2:$G$50)</f>
        <v>2200567.46402529</v>
      </c>
      <c r="C9" s="22" t="n">
        <f aca="false">B9*$E$2</f>
        <v>1100283.73201265</v>
      </c>
      <c r="D9" s="22" t="n">
        <f aca="false">SUMIFS('Delivery Data'!$F$2:$F$687,'Delivery Data'!$E$2:$E$687,A9,'Delivery Data'!$B$2:$B$687,"&lt;="&amp;Brief!$B$28)</f>
        <v>778503</v>
      </c>
      <c r="E9" s="10" t="n">
        <f aca="false">IFERROR(D9/B9,0)</f>
        <v>0.353773748238537</v>
      </c>
      <c r="F9" s="32" t="n">
        <f aca="false">IFERROR(D9/C9,0)</f>
        <v>0.707547496477074</v>
      </c>
      <c r="G9" s="22" t="n">
        <f aca="false">IFERROR(D9/$E$2,0)</f>
        <v>1557006</v>
      </c>
      <c r="H9" s="22" t="n">
        <f aca="false">MAX(0,B9-G9)</f>
        <v>643561.464025294</v>
      </c>
      <c r="I9" s="8" t="n">
        <f aca="false">SUMIFS('Delivery Data'!$G$2:$G$687,'Delivery Data'!$E$2:$E$687,A9,'Delivery Data'!$B$2:$B$687,"&lt;="&amp;Brief!$B$28)</f>
        <v>7182.01</v>
      </c>
      <c r="J9" s="2" t="str">
        <f aca="false">IF(B9=0,"Not in plan",IF(F9&lt;$H$2,"Behind",IF(F9&gt;$J$2,"Ahead","On track")))</f>
        <v>Behind</v>
      </c>
    </row>
    <row r="10" customFormat="false" ht="15" hidden="false" customHeight="false" outlineLevel="0" collapsed="false">
      <c r="A10" s="2" t="s">
        <v>92</v>
      </c>
      <c r="B10" s="22" t="n">
        <f aca="false">SUMIF('Media Plan'!$C$2:$C$50,A10,'Media Plan'!$G$2:$G$50)</f>
        <v>2312946.79112787</v>
      </c>
      <c r="C10" s="22" t="n">
        <f aca="false">B10*$E$2</f>
        <v>1156473.39556394</v>
      </c>
      <c r="D10" s="22" t="n">
        <f aca="false">SUMIFS('Delivery Data'!$F$2:$F$687,'Delivery Data'!$E$2:$E$687,A10,'Delivery Data'!$B$2:$B$687,"&lt;="&amp;Brief!$B$28)</f>
        <v>1196744</v>
      </c>
      <c r="E10" s="10" t="n">
        <f aca="false">IFERROR(D10/B10,0)</f>
        <v>0.517410951514551</v>
      </c>
      <c r="F10" s="32" t="n">
        <f aca="false">IFERROR(D10/C10,0)</f>
        <v>1.0348219030291</v>
      </c>
      <c r="G10" s="22" t="n">
        <f aca="false">IFERROR(D10/$E$2,0)</f>
        <v>2393488</v>
      </c>
      <c r="H10" s="22" t="n">
        <f aca="false">MAX(0,B10-G10)</f>
        <v>0</v>
      </c>
      <c r="I10" s="8" t="n">
        <f aca="false">SUMIFS('Delivery Data'!$G$2:$G$687,'Delivery Data'!$E$2:$E$687,A10,'Delivery Data'!$B$2:$B$687,"&lt;="&amp;Brief!$B$28)</f>
        <v>12585.2</v>
      </c>
      <c r="J10" s="2" t="str">
        <f aca="false">IF(B10=0,"Not in plan",IF(F10&lt;$H$2,"Behind",IF(F10&gt;$J$2,"Ahead","On track")))</f>
        <v>On track</v>
      </c>
    </row>
    <row r="11" customFormat="false" ht="15" hidden="false" customHeight="false" outlineLevel="0" collapsed="false">
      <c r="A11" s="24" t="s">
        <v>197</v>
      </c>
      <c r="B11" s="28" t="n">
        <f aca="false">SUM(B5:B10)</f>
        <v>7104340.51753304</v>
      </c>
      <c r="C11" s="28" t="n">
        <f aca="false">SUM(C5:C10)</f>
        <v>3552170.25876652</v>
      </c>
      <c r="D11" s="28" t="n">
        <f aca="false">SUM(D5:D10)</f>
        <v>3256109</v>
      </c>
      <c r="E11" s="33" t="n">
        <f aca="false">IFERROR(D11/B11,0)</f>
        <v>0.458326707730878</v>
      </c>
      <c r="F11" s="34" t="n">
        <f aca="false">IFERROR(D11/C11,0)</f>
        <v>0.916653415461756</v>
      </c>
      <c r="G11" s="28" t="n">
        <f aca="false">SUM(G5:G10)</f>
        <v>6512218</v>
      </c>
      <c r="H11" s="28" t="n">
        <f aca="false">MAX(0,B11-G11)</f>
        <v>592122.517533042</v>
      </c>
      <c r="I11" s="26" t="n">
        <f aca="false">SUM(I5:I10)</f>
        <v>34744.17</v>
      </c>
      <c r="J11" s="24" t="str">
        <f aca="false">IF(F11&lt;$H$2,"Behind",IF(F11&gt;$J$2,"Ahead","On track"))</f>
        <v>On track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31.5" hidden="false" customHeight="true" outlineLevel="0" collapsed="false">
      <c r="A13" s="12" t="s">
        <v>31</v>
      </c>
      <c r="B13" s="12" t="s">
        <v>194</v>
      </c>
      <c r="C13" s="12" t="s">
        <v>225</v>
      </c>
      <c r="D13" s="12" t="s">
        <v>226</v>
      </c>
      <c r="E13" s="12" t="s">
        <v>227</v>
      </c>
      <c r="F13" s="12" t="s">
        <v>228</v>
      </c>
      <c r="G13" s="12" t="s">
        <v>229</v>
      </c>
      <c r="H13" s="12" t="s">
        <v>230</v>
      </c>
      <c r="I13" s="12" t="s">
        <v>207</v>
      </c>
      <c r="J13" s="12" t="s">
        <v>231</v>
      </c>
    </row>
    <row r="14" customFormat="false" ht="15" hidden="false" customHeight="false" outlineLevel="0" collapsed="false">
      <c r="A14" s="2" t="s">
        <v>15</v>
      </c>
      <c r="B14" s="22" t="n">
        <f aca="false">SUMIF('Media Plan'!$B$2:$B$50,A14,'Media Plan'!$G$2:$G$50)</f>
        <v>3058528.34544933</v>
      </c>
      <c r="C14" s="22" t="n">
        <f aca="false">B14*$E$2</f>
        <v>1529264.17272467</v>
      </c>
      <c r="D14" s="22" t="n">
        <f aca="false">SUMIFS('Delivery Data'!$F$2:$F$687,'Delivery Data'!$D$2:$D$687,A14,'Delivery Data'!$B$2:$B$687,"&lt;="&amp;Brief!$B$28)</f>
        <v>1365334</v>
      </c>
      <c r="E14" s="10" t="n">
        <f aca="false">IFERROR(D14/B14,0)</f>
        <v>0.446402271220219</v>
      </c>
      <c r="F14" s="32" t="n">
        <f aca="false">IFERROR(D14/C14,0)</f>
        <v>0.892804542440438</v>
      </c>
      <c r="G14" s="22" t="n">
        <f aca="false">IFERROR(D14/$E$2,0)</f>
        <v>2730668</v>
      </c>
      <c r="H14" s="22" t="n">
        <f aca="false">MAX(0,B14-G14)</f>
        <v>327860.345449333</v>
      </c>
      <c r="I14" s="8" t="n">
        <f aca="false">SUMIFS('Delivery Data'!$G$2:$G$687,'Delivery Data'!$D$2:$D$687,A14,'Delivery Data'!$B$2:$B$687,"&lt;="&amp;Brief!$B$28)</f>
        <v>15278.85</v>
      </c>
      <c r="J14" s="2" t="str">
        <f aca="false">IF(B14=0,"Not in plan",IF(F14&lt;$H$2,"Behind",IF(F14&gt;$J$2,"Ahead","On track")))</f>
        <v>Behind</v>
      </c>
    </row>
    <row r="15" customFormat="false" ht="15" hidden="false" customHeight="false" outlineLevel="0" collapsed="false">
      <c r="A15" s="2" t="s">
        <v>16</v>
      </c>
      <c r="B15" s="22" t="n">
        <f aca="false">SUMIF('Media Plan'!$B$2:$B$50,A15,'Media Plan'!$G$2:$G$50)</f>
        <v>2494642.05427229</v>
      </c>
      <c r="C15" s="22" t="n">
        <f aca="false">B15*$E$2</f>
        <v>1247321.02713615</v>
      </c>
      <c r="D15" s="22" t="n">
        <f aca="false">SUMIFS('Delivery Data'!$F$2:$F$687,'Delivery Data'!$D$2:$D$687,A15,'Delivery Data'!$B$2:$B$687,"&lt;="&amp;Brief!$B$28)</f>
        <v>1125473</v>
      </c>
      <c r="E15" s="10" t="n">
        <f aca="false">IFERROR(D15/B15,0)</f>
        <v>0.451156107976505</v>
      </c>
      <c r="F15" s="32" t="n">
        <f aca="false">IFERROR(D15/C15,0)</f>
        <v>0.90231221595301</v>
      </c>
      <c r="G15" s="22" t="n">
        <f aca="false">IFERROR(D15/$E$2,0)</f>
        <v>2250946</v>
      </c>
      <c r="H15" s="22" t="n">
        <f aca="false">MAX(0,B15-G15)</f>
        <v>243696.054272291</v>
      </c>
      <c r="I15" s="8" t="n">
        <f aca="false">SUMIFS('Delivery Data'!$G$2:$G$687,'Delivery Data'!$D$2:$D$687,A15,'Delivery Data'!$B$2:$B$687,"&lt;="&amp;Brief!$B$28)</f>
        <v>12036.56</v>
      </c>
      <c r="J15" s="2" t="str">
        <f aca="false">IF(B15=0,"Not in plan",IF(F15&lt;$H$2,"Behind",IF(F15&gt;$J$2,"Ahead","On track")))</f>
        <v>On track</v>
      </c>
    </row>
    <row r="16" customFormat="false" ht="15" hidden="false" customHeight="false" outlineLevel="0" collapsed="false">
      <c r="A16" s="2" t="s">
        <v>17</v>
      </c>
      <c r="B16" s="22" t="n">
        <f aca="false">SUMIF('Media Plan'!$B$2:$B$50,A16,'Media Plan'!$G$2:$G$50)</f>
        <v>1551170.11781142</v>
      </c>
      <c r="C16" s="22" t="n">
        <f aca="false">B16*$E$2</f>
        <v>775585.058905709</v>
      </c>
      <c r="D16" s="22" t="n">
        <f aca="false">SUMIFS('Delivery Data'!$F$2:$F$687,'Delivery Data'!$D$2:$D$687,A16,'Delivery Data'!$B$2:$B$687,"&lt;="&amp;Brief!$B$28)</f>
        <v>765302</v>
      </c>
      <c r="E16" s="10" t="n">
        <f aca="false">IFERROR(D16/B16,0)</f>
        <v>0.493370772948993</v>
      </c>
      <c r="F16" s="32" t="n">
        <f aca="false">IFERROR(D16/C16,0)</f>
        <v>0.986741545897987</v>
      </c>
      <c r="G16" s="22" t="n">
        <f aca="false">IFERROR(D16/$E$2,0)</f>
        <v>1530604</v>
      </c>
      <c r="H16" s="22" t="n">
        <f aca="false">MAX(0,B16-G16)</f>
        <v>20566.1178114177</v>
      </c>
      <c r="I16" s="8" t="n">
        <f aca="false">SUMIFS('Delivery Data'!$G$2:$G$687,'Delivery Data'!$D$2:$D$687,A16,'Delivery Data'!$B$2:$B$687,"&lt;="&amp;Brief!$B$28)</f>
        <v>7428.76</v>
      </c>
      <c r="J16" s="2" t="str">
        <f aca="false">IF(B16=0,"Not in plan",IF(F16&lt;$H$2,"Behind",IF(F16&gt;$J$2,"Ahead","On track")))</f>
        <v>On track</v>
      </c>
    </row>
    <row r="17" customFormat="false" ht="15" hidden="false" customHeight="false" outlineLevel="0" collapsed="false">
      <c r="A17" s="24" t="s">
        <v>197</v>
      </c>
      <c r="B17" s="28" t="n">
        <f aca="false">SUM(B14:B16)</f>
        <v>7104340.51753304</v>
      </c>
      <c r="C17" s="28" t="n">
        <f aca="false">SUM(C14:C16)</f>
        <v>3552170.25876652</v>
      </c>
      <c r="D17" s="28" t="n">
        <f aca="false">SUM(D14:D16)</f>
        <v>3256109</v>
      </c>
      <c r="E17" s="33" t="n">
        <f aca="false">IFERROR(D17/B17,0)</f>
        <v>0.458326707730878</v>
      </c>
      <c r="F17" s="34" t="n">
        <f aca="false">IFERROR(D17/C17,0)</f>
        <v>0.916653415461756</v>
      </c>
      <c r="G17" s="28" t="n">
        <f aca="false">SUM(G14:G16)</f>
        <v>6512218</v>
      </c>
      <c r="H17" s="28" t="n">
        <f aca="false">MAX(0,B17-G17)</f>
        <v>592122.517533042</v>
      </c>
      <c r="I17" s="26" t="n">
        <f aca="false">SUM(I14:I16)</f>
        <v>34744.17</v>
      </c>
      <c r="J17" s="24" t="str">
        <f aca="false">IF(F17&lt;$H$2,"Behind",IF(F17&gt;$J$2,"Ahead","On track"))</f>
        <v>On track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232</v>
      </c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3" t="s">
        <v>233</v>
      </c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3" t="s">
        <v>234</v>
      </c>
      <c r="B21" s="2"/>
      <c r="C21" s="2"/>
      <c r="D21" s="2"/>
      <c r="E21" s="2"/>
      <c r="F21" s="2"/>
      <c r="G21" s="2"/>
      <c r="H21" s="2"/>
      <c r="I21" s="2"/>
      <c r="J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235</v>
      </c>
      <c r="B1" s="2"/>
    </row>
    <row r="2" customFormat="false" ht="15" hidden="false" customHeight="false" outlineLevel="0" collapsed="false">
      <c r="A2" s="3" t="s">
        <v>236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237</v>
      </c>
      <c r="B4" s="35" t="n">
        <f aca="false">Pacing!B11</f>
        <v>7104340.51753304</v>
      </c>
    </row>
    <row r="5" customFormat="false" ht="15" hidden="false" customHeight="false" outlineLevel="0" collapsed="false">
      <c r="A5" s="4" t="s">
        <v>238</v>
      </c>
      <c r="B5" s="35" t="n">
        <f aca="false">Pacing!D11</f>
        <v>3256109</v>
      </c>
    </row>
    <row r="6" customFormat="false" ht="15" hidden="false" customHeight="false" outlineLevel="0" collapsed="false">
      <c r="A6" s="4" t="s">
        <v>239</v>
      </c>
      <c r="B6" s="36" t="n">
        <f aca="false">Pacing!E11</f>
        <v>0.458326707730878</v>
      </c>
    </row>
    <row r="7" customFormat="false" ht="15" hidden="false" customHeight="false" outlineLevel="0" collapsed="false">
      <c r="A7" s="4" t="s">
        <v>240</v>
      </c>
      <c r="B7" s="37" t="n">
        <f aca="false">Pacing!F11</f>
        <v>0.916653415461756</v>
      </c>
    </row>
    <row r="8" customFormat="false" ht="15" hidden="false" customHeight="false" outlineLevel="0" collapsed="false">
      <c r="A8" s="4" t="s">
        <v>241</v>
      </c>
      <c r="B8" s="30" t="n">
        <f aca="false">Pacing!I11</f>
        <v>34744.17</v>
      </c>
    </row>
    <row r="9" customFormat="false" ht="15" hidden="false" customHeight="false" outlineLevel="0" collapsed="false">
      <c r="A9" s="4" t="s">
        <v>242</v>
      </c>
      <c r="B9" s="21" t="n">
        <f aca="false">IFERROR(B8/B5*1000,0)</f>
        <v>10.6704566708301</v>
      </c>
    </row>
    <row r="10" customFormat="false" ht="15" hidden="false" customHeight="false" outlineLevel="0" collapsed="false">
      <c r="A10" s="4" t="s">
        <v>243</v>
      </c>
      <c r="B10" s="35" t="n">
        <f aca="false">B5*'Media Plan'!I51/'Media Plan'!G51</f>
        <v>1561267.82754735</v>
      </c>
    </row>
    <row r="11" customFormat="false" ht="15" hidden="false" customHeight="false" outlineLevel="0" collapsed="false">
      <c r="A11" s="4" t="s">
        <v>244</v>
      </c>
      <c r="B11" s="23" t="n">
        <f aca="false">COUNTIF(Pacing!J5:J10,"Behind")</f>
        <v>1</v>
      </c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4" t="s">
        <v>245</v>
      </c>
      <c r="B13" s="4" t="s">
        <v>246</v>
      </c>
    </row>
    <row r="14" customFormat="false" ht="45" hidden="false" customHeight="true" outlineLevel="0" collapsed="false">
      <c r="A14" s="4" t="s">
        <v>247</v>
      </c>
      <c r="B14" s="38" t="s">
        <v>248</v>
      </c>
    </row>
    <row r="15" customFormat="false" ht="45" hidden="false" customHeight="true" outlineLevel="0" collapsed="false">
      <c r="A15" s="4" t="s">
        <v>249</v>
      </c>
      <c r="B15" s="38" t="s">
        <v>250</v>
      </c>
    </row>
    <row r="16" customFormat="false" ht="45" hidden="false" customHeight="true" outlineLevel="0" collapsed="false">
      <c r="A16" s="4" t="s">
        <v>251</v>
      </c>
      <c r="B16" s="38" t="s">
        <v>252</v>
      </c>
    </row>
    <row r="17" customFormat="false" ht="45" hidden="false" customHeight="true" outlineLevel="0" collapsed="false">
      <c r="A17" s="4" t="s">
        <v>253</v>
      </c>
      <c r="B17" s="38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2026-10-27T21:04:33Z</dcterms:created>
  <dc:creator>openpyxl</dc:creator>
  <dc:description/>
  <dc:language>en-US</dc:language>
  <cp:lastModifiedBy/>
  <dcterms:modified xsi:type="dcterms:W3CDTF">2026-10-27T21:04:33Z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